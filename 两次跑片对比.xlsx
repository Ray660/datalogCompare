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atalogCompare\datalogCompare\"/>
    </mc:Choice>
  </mc:AlternateContent>
  <xr:revisionPtr revIDLastSave="0" documentId="8_{3EFF9B21-4E5D-4F54-A2CE-E53CD1868AA4}" xr6:coauthVersionLast="47" xr6:coauthVersionMax="47" xr10:uidLastSave="{00000000-0000-0000-0000-000000000000}"/>
  <bookViews>
    <workbookView xWindow="-108" yWindow="-108" windowWidth="23256" windowHeight="12576" xr2:uid="{245E97FC-D7D0-410B-954E-6ABAD3BCDD30}"/>
  </bookViews>
  <sheets>
    <sheet name="output" sheetId="1" r:id="rId1"/>
  </sheets>
  <calcPr calcId="0"/>
</workbook>
</file>

<file path=xl/calcChain.xml><?xml version="1.0" encoding="utf-8"?>
<calcChain xmlns="http://schemas.openxmlformats.org/spreadsheetml/2006/main">
  <c r="GW3" i="1" l="1"/>
  <c r="GX3" i="1"/>
  <c r="GY3" i="1"/>
  <c r="HA3" i="1"/>
  <c r="HB3" i="1"/>
  <c r="HC3" i="1"/>
  <c r="HD3" i="1"/>
  <c r="HE3" i="1"/>
  <c r="HF3" i="1"/>
  <c r="HG3" i="1"/>
  <c r="HH3" i="1"/>
  <c r="HI3" i="1"/>
  <c r="HJ3" i="1"/>
  <c r="HK3" i="1"/>
  <c r="HL3" i="1"/>
  <c r="HN3" i="1"/>
  <c r="HO3" i="1"/>
  <c r="HP3" i="1"/>
  <c r="HS3" i="1"/>
  <c r="HU3" i="1"/>
  <c r="HV3" i="1"/>
  <c r="HW3" i="1"/>
  <c r="HX3" i="1"/>
  <c r="HY3" i="1"/>
  <c r="HZ3" i="1"/>
  <c r="IA3" i="1"/>
  <c r="IB3" i="1"/>
  <c r="IC3" i="1"/>
  <c r="ID3" i="1"/>
  <c r="IE3" i="1"/>
  <c r="IF3" i="1"/>
  <c r="IH3" i="1"/>
  <c r="II3" i="1"/>
  <c r="IJ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G3" i="1"/>
  <c r="JI3" i="1"/>
  <c r="JJ3" i="1"/>
  <c r="JK3" i="1"/>
  <c r="JL3" i="1"/>
  <c r="JN3" i="1"/>
  <c r="JO3" i="1"/>
  <c r="JP3" i="1"/>
  <c r="JQ3" i="1"/>
  <c r="JR3" i="1"/>
  <c r="JS3" i="1"/>
  <c r="JT3" i="1"/>
  <c r="JU3" i="1"/>
  <c r="JX3" i="1"/>
  <c r="JY3" i="1"/>
  <c r="JZ3" i="1"/>
  <c r="KC3" i="1"/>
  <c r="KD3" i="1"/>
  <c r="KE3" i="1"/>
  <c r="KF3" i="1"/>
  <c r="KG3" i="1"/>
  <c r="KK3" i="1"/>
  <c r="KL3" i="1"/>
  <c r="KM3" i="1"/>
  <c r="KN3" i="1"/>
  <c r="KO3" i="1"/>
  <c r="KP3" i="1"/>
  <c r="KQ3" i="1"/>
  <c r="KR3" i="1"/>
  <c r="KS3" i="1"/>
  <c r="KU3" i="1"/>
  <c r="KV3" i="1"/>
  <c r="KW3" i="1"/>
  <c r="KX3" i="1"/>
  <c r="KZ3" i="1"/>
  <c r="LA3" i="1"/>
  <c r="LB3" i="1"/>
  <c r="LC3" i="1"/>
  <c r="LD3" i="1"/>
  <c r="LE3" i="1"/>
  <c r="LG3" i="1"/>
  <c r="LH3" i="1"/>
  <c r="LI3" i="1"/>
  <c r="LK3" i="1"/>
  <c r="LL3" i="1"/>
  <c r="LM3" i="1"/>
  <c r="LO3" i="1"/>
  <c r="LP3" i="1"/>
  <c r="LQ3" i="1"/>
  <c r="LR3" i="1"/>
  <c r="LS3" i="1"/>
  <c r="LT3" i="1"/>
  <c r="LU3" i="1"/>
  <c r="LV3" i="1"/>
  <c r="LW3" i="1"/>
  <c r="LX3" i="1"/>
  <c r="LZ3" i="1"/>
  <c r="MA3" i="1"/>
  <c r="MB3" i="1"/>
  <c r="MD3" i="1"/>
  <c r="MF3" i="1"/>
  <c r="MH3" i="1"/>
  <c r="MI3" i="1"/>
  <c r="MK3" i="1"/>
  <c r="ML3" i="1"/>
  <c r="MN3" i="1"/>
  <c r="MO3" i="1"/>
  <c r="MQ3" i="1"/>
  <c r="MR3" i="1"/>
  <c r="MS3" i="1"/>
  <c r="MU3" i="1"/>
  <c r="MV3" i="1"/>
  <c r="MW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T3" i="1"/>
  <c r="NU3" i="1"/>
  <c r="NV3" i="1"/>
  <c r="NW3" i="1"/>
  <c r="NY3" i="1"/>
  <c r="NZ3" i="1"/>
  <c r="OA3" i="1"/>
  <c r="OB3" i="1"/>
  <c r="OE3" i="1"/>
  <c r="OF3" i="1"/>
  <c r="OG3" i="1"/>
  <c r="OH3" i="1"/>
  <c r="OI3" i="1"/>
  <c r="OJ3" i="1"/>
  <c r="OK3" i="1"/>
  <c r="OM3" i="1"/>
  <c r="OO3" i="1"/>
  <c r="OP3" i="1"/>
  <c r="GW4" i="1"/>
  <c r="GX4" i="1"/>
  <c r="GZ4" i="1"/>
  <c r="HA4" i="1"/>
  <c r="HC4" i="1"/>
  <c r="HD4" i="1"/>
  <c r="HE4" i="1"/>
  <c r="HG4" i="1"/>
  <c r="HH4" i="1"/>
  <c r="HI4" i="1"/>
  <c r="HJ4" i="1"/>
  <c r="HK4" i="1"/>
  <c r="HL4" i="1"/>
  <c r="HN4" i="1"/>
  <c r="HO4" i="1"/>
  <c r="HP4" i="1"/>
  <c r="HQ4" i="1"/>
  <c r="HR4" i="1"/>
  <c r="HS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I4" i="1"/>
  <c r="IJ4" i="1"/>
  <c r="IK4" i="1"/>
  <c r="IL4" i="1"/>
  <c r="IM4" i="1"/>
  <c r="IN4" i="1"/>
  <c r="IO4" i="1"/>
  <c r="IP4" i="1"/>
  <c r="IR4" i="1"/>
  <c r="IS4" i="1"/>
  <c r="IT4" i="1"/>
  <c r="IU4" i="1"/>
  <c r="IV4" i="1"/>
  <c r="IW4" i="1"/>
  <c r="IX4" i="1"/>
  <c r="IY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C4" i="1"/>
  <c r="KD4" i="1"/>
  <c r="KE4" i="1"/>
  <c r="KF4" i="1"/>
  <c r="KG4" i="1"/>
  <c r="KH4" i="1"/>
  <c r="KJ4" i="1"/>
  <c r="KK4" i="1"/>
  <c r="KL4" i="1"/>
  <c r="KO4" i="1"/>
  <c r="KP4" i="1"/>
  <c r="KQ4" i="1"/>
  <c r="KR4" i="1"/>
  <c r="KS4" i="1"/>
  <c r="KT4" i="1"/>
  <c r="KU4" i="1"/>
  <c r="KV4" i="1"/>
  <c r="KY4" i="1"/>
  <c r="KZ4" i="1"/>
  <c r="LA4" i="1"/>
  <c r="LB4" i="1"/>
  <c r="LC4" i="1"/>
  <c r="LD4" i="1"/>
  <c r="LE4" i="1"/>
  <c r="LF4" i="1"/>
  <c r="LG4" i="1"/>
  <c r="LH4" i="1"/>
  <c r="LI4" i="1"/>
  <c r="LJ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I4" i="1"/>
  <c r="NJ4" i="1"/>
  <c r="NL4" i="1"/>
  <c r="NM4" i="1"/>
  <c r="NN4" i="1"/>
  <c r="NO4" i="1"/>
  <c r="NP4" i="1"/>
  <c r="NQ4" i="1"/>
  <c r="NS4" i="1"/>
  <c r="NT4" i="1"/>
  <c r="NU4" i="1"/>
  <c r="NV4" i="1"/>
  <c r="NW4" i="1"/>
  <c r="NZ4" i="1"/>
  <c r="OB4" i="1"/>
  <c r="OC4" i="1"/>
  <c r="OD4" i="1"/>
  <c r="OE4" i="1"/>
  <c r="OG4" i="1"/>
  <c r="OI4" i="1"/>
  <c r="OJ4" i="1"/>
  <c r="OK4" i="1"/>
  <c r="OL4" i="1"/>
  <c r="OM4" i="1"/>
  <c r="ON4" i="1"/>
  <c r="OO4" i="1"/>
  <c r="OP4" i="1"/>
  <c r="GW5" i="1"/>
  <c r="GX5" i="1"/>
  <c r="GZ5" i="1"/>
  <c r="HA5" i="1"/>
  <c r="HB5" i="1"/>
  <c r="HC5" i="1"/>
  <c r="HD5" i="1"/>
  <c r="HE5" i="1"/>
  <c r="HF5" i="1"/>
  <c r="HG5" i="1"/>
  <c r="HH5" i="1"/>
  <c r="HJ5" i="1"/>
  <c r="HK5" i="1"/>
  <c r="HL5" i="1"/>
  <c r="HM5" i="1"/>
  <c r="HO5" i="1"/>
  <c r="HP5" i="1"/>
  <c r="HQ5" i="1"/>
  <c r="HR5" i="1"/>
  <c r="HS5" i="1"/>
  <c r="HT5" i="1"/>
  <c r="HU5" i="1"/>
  <c r="HV5" i="1"/>
  <c r="HW5" i="1"/>
  <c r="HX5" i="1"/>
  <c r="HY5" i="1"/>
  <c r="IA5" i="1"/>
  <c r="IB5" i="1"/>
  <c r="IC5" i="1"/>
  <c r="ID5" i="1"/>
  <c r="IE5" i="1"/>
  <c r="IF5" i="1"/>
  <c r="IG5" i="1"/>
  <c r="IH5" i="1"/>
  <c r="IJ5" i="1"/>
  <c r="IK5" i="1"/>
  <c r="IM5" i="1"/>
  <c r="IN5" i="1"/>
  <c r="IO5" i="1"/>
  <c r="IP5" i="1"/>
  <c r="IQ5" i="1"/>
  <c r="IS5" i="1"/>
  <c r="IT5" i="1"/>
  <c r="IU5" i="1"/>
  <c r="IV5" i="1"/>
  <c r="IW5" i="1"/>
  <c r="IX5" i="1"/>
  <c r="IY5" i="1"/>
  <c r="JB5" i="1"/>
  <c r="JC5" i="1"/>
  <c r="JD5" i="1"/>
  <c r="JE5" i="1"/>
  <c r="JF5" i="1"/>
  <c r="JH5" i="1"/>
  <c r="JI5" i="1"/>
  <c r="JJ5" i="1"/>
  <c r="JM5" i="1"/>
  <c r="JN5" i="1"/>
  <c r="JO5" i="1"/>
  <c r="JP5" i="1"/>
  <c r="JQ5" i="1"/>
  <c r="JR5" i="1"/>
  <c r="JS5" i="1"/>
  <c r="JT5" i="1"/>
  <c r="JU5" i="1"/>
  <c r="JV5" i="1"/>
  <c r="JW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M5" i="1"/>
  <c r="KN5" i="1"/>
  <c r="KO5" i="1"/>
  <c r="KP5" i="1"/>
  <c r="KQ5" i="1"/>
  <c r="KR5" i="1"/>
  <c r="KS5" i="1"/>
  <c r="KT5" i="1"/>
  <c r="KU5" i="1"/>
  <c r="KV5" i="1"/>
  <c r="KW5" i="1"/>
  <c r="KY5" i="1"/>
  <c r="KZ5" i="1"/>
  <c r="LA5" i="1"/>
  <c r="LB5" i="1"/>
  <c r="LC5" i="1"/>
  <c r="LD5" i="1"/>
  <c r="LE5" i="1"/>
  <c r="LF5" i="1"/>
  <c r="LG5" i="1"/>
  <c r="LI5" i="1"/>
  <c r="LJ5" i="1"/>
  <c r="LK5" i="1"/>
  <c r="LL5" i="1"/>
  <c r="LN5" i="1"/>
  <c r="LO5" i="1"/>
  <c r="LP5" i="1"/>
  <c r="LQ5" i="1"/>
  <c r="LR5" i="1"/>
  <c r="LS5" i="1"/>
  <c r="LT5" i="1"/>
  <c r="LU5" i="1"/>
  <c r="LV5" i="1"/>
  <c r="LW5" i="1"/>
  <c r="LY5" i="1"/>
  <c r="LZ5" i="1"/>
  <c r="MA5" i="1"/>
  <c r="MB5" i="1"/>
  <c r="MC5" i="1"/>
  <c r="MD5" i="1"/>
  <c r="ME5" i="1"/>
  <c r="MF5" i="1"/>
  <c r="MI5" i="1"/>
  <c r="MJ5" i="1"/>
  <c r="MK5" i="1"/>
  <c r="ML5" i="1"/>
  <c r="MM5" i="1"/>
  <c r="MO5" i="1"/>
  <c r="MP5" i="1"/>
  <c r="MQ5" i="1"/>
  <c r="MR5" i="1"/>
  <c r="MS5" i="1"/>
  <c r="MT5" i="1"/>
  <c r="MU5" i="1"/>
  <c r="MV5" i="1"/>
  <c r="MW5" i="1"/>
  <c r="MX5" i="1"/>
  <c r="MZ5" i="1"/>
  <c r="NA5" i="1"/>
  <c r="NB5" i="1"/>
  <c r="NC5" i="1"/>
  <c r="ND5" i="1"/>
  <c r="NE5" i="1"/>
  <c r="NF5" i="1"/>
  <c r="NG5" i="1"/>
  <c r="NI5" i="1"/>
  <c r="NJ5" i="1"/>
  <c r="NK5" i="1"/>
  <c r="NL5" i="1"/>
  <c r="NM5" i="1"/>
  <c r="NN5" i="1"/>
  <c r="NO5" i="1"/>
  <c r="NP5" i="1"/>
  <c r="NQ5" i="1"/>
  <c r="NS5" i="1"/>
  <c r="NT5" i="1"/>
  <c r="NV5" i="1"/>
  <c r="NW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GW6" i="1"/>
  <c r="GX6" i="1"/>
  <c r="GY6" i="1"/>
  <c r="GZ6" i="1"/>
  <c r="HA6" i="1"/>
  <c r="HB6" i="1"/>
  <c r="HC6" i="1"/>
  <c r="HD6" i="1"/>
  <c r="HE6" i="1"/>
  <c r="HF6" i="1"/>
  <c r="HG6" i="1"/>
  <c r="HH6" i="1"/>
  <c r="HJ6" i="1"/>
  <c r="HL6" i="1"/>
  <c r="HM6" i="1"/>
  <c r="HN6" i="1"/>
  <c r="HO6" i="1"/>
  <c r="HP6" i="1"/>
  <c r="HR6" i="1"/>
  <c r="HS6" i="1"/>
  <c r="HT6" i="1"/>
  <c r="HU6" i="1"/>
  <c r="HV6" i="1"/>
  <c r="HW6" i="1"/>
  <c r="HX6" i="1"/>
  <c r="HY6" i="1"/>
  <c r="HZ6" i="1"/>
  <c r="IA6" i="1"/>
  <c r="IC6" i="1"/>
  <c r="ID6" i="1"/>
  <c r="IE6" i="1"/>
  <c r="IF6" i="1"/>
  <c r="IG6" i="1"/>
  <c r="IH6" i="1"/>
  <c r="II6" i="1"/>
  <c r="IJ6" i="1"/>
  <c r="IL6" i="1"/>
  <c r="IM6" i="1"/>
  <c r="IN6" i="1"/>
  <c r="IO6" i="1"/>
  <c r="IP6" i="1"/>
  <c r="IQ6" i="1"/>
  <c r="IR6" i="1"/>
  <c r="IS6" i="1"/>
  <c r="IU6" i="1"/>
  <c r="IV6" i="1"/>
  <c r="IW6" i="1"/>
  <c r="IX6" i="1"/>
  <c r="IY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S6" i="1"/>
  <c r="JT6" i="1"/>
  <c r="JU6" i="1"/>
  <c r="JV6" i="1"/>
  <c r="JW6" i="1"/>
  <c r="JX6" i="1"/>
  <c r="JZ6" i="1"/>
  <c r="KA6" i="1"/>
  <c r="KC6" i="1"/>
  <c r="KD6" i="1"/>
  <c r="KE6" i="1"/>
  <c r="KF6" i="1"/>
  <c r="KG6" i="1"/>
  <c r="KH6" i="1"/>
  <c r="KI6" i="1"/>
  <c r="KJ6" i="1"/>
  <c r="KK6" i="1"/>
  <c r="KL6" i="1"/>
  <c r="KO6" i="1"/>
  <c r="KP6" i="1"/>
  <c r="KQ6" i="1"/>
  <c r="KR6" i="1"/>
  <c r="KS6" i="1"/>
  <c r="KT6" i="1"/>
  <c r="KU6" i="1"/>
  <c r="KV6" i="1"/>
  <c r="KW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F6" i="1"/>
  <c r="MG6" i="1"/>
  <c r="MH6" i="1"/>
  <c r="MI6" i="1"/>
  <c r="MJ6" i="1"/>
  <c r="MK6" i="1"/>
  <c r="ML6" i="1"/>
  <c r="MM6" i="1"/>
  <c r="MN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P6" i="1"/>
  <c r="NS6" i="1"/>
  <c r="NT6" i="1"/>
  <c r="NU6" i="1"/>
  <c r="NV6" i="1"/>
  <c r="NW6" i="1"/>
  <c r="NX6" i="1"/>
  <c r="NY6" i="1"/>
  <c r="NZ6" i="1"/>
  <c r="OB6" i="1"/>
  <c r="OC6" i="1"/>
  <c r="OD6" i="1"/>
  <c r="OE6" i="1"/>
  <c r="OF6" i="1"/>
  <c r="OH6" i="1"/>
  <c r="OI6" i="1"/>
  <c r="OJ6" i="1"/>
  <c r="OK6" i="1"/>
  <c r="OL6" i="1"/>
  <c r="OM6" i="1"/>
  <c r="ON6" i="1"/>
  <c r="OO6" i="1"/>
  <c r="OP6" i="1"/>
  <c r="GW7" i="1"/>
  <c r="GY7" i="1"/>
  <c r="GZ7" i="1"/>
  <c r="HA7" i="1"/>
  <c r="HB7" i="1"/>
  <c r="HC7" i="1"/>
  <c r="HE7" i="1"/>
  <c r="HF7" i="1"/>
  <c r="HG7" i="1"/>
  <c r="HH7" i="1"/>
  <c r="HJ7" i="1"/>
  <c r="HK7" i="1"/>
  <c r="HL7" i="1"/>
  <c r="HM7" i="1"/>
  <c r="HO7" i="1"/>
  <c r="HP7" i="1"/>
  <c r="HQ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Z7" i="1"/>
  <c r="LA7" i="1"/>
  <c r="LC7" i="1"/>
  <c r="LD7" i="1"/>
  <c r="LE7" i="1"/>
  <c r="LF7" i="1"/>
  <c r="LG7" i="1"/>
  <c r="LH7" i="1"/>
  <c r="LK7" i="1"/>
  <c r="LL7" i="1"/>
  <c r="LM7" i="1"/>
  <c r="LN7" i="1"/>
  <c r="LO7" i="1"/>
  <c r="LP7" i="1"/>
  <c r="LR7" i="1"/>
  <c r="LS7" i="1"/>
  <c r="LT7" i="1"/>
  <c r="LU7" i="1"/>
  <c r="LV7" i="1"/>
  <c r="LW7" i="1"/>
  <c r="LX7" i="1"/>
  <c r="LZ7" i="1"/>
  <c r="MA7" i="1"/>
  <c r="MB7" i="1"/>
  <c r="MD7" i="1"/>
  <c r="ME7" i="1"/>
  <c r="MF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I7" i="1"/>
  <c r="NJ7" i="1"/>
  <c r="NK7" i="1"/>
  <c r="NL7" i="1"/>
  <c r="NM7" i="1"/>
  <c r="NN7" i="1"/>
  <c r="NO7" i="1"/>
  <c r="NQ7" i="1"/>
  <c r="NR7" i="1"/>
  <c r="NS7" i="1"/>
  <c r="NT7" i="1"/>
  <c r="NU7" i="1"/>
  <c r="NW7" i="1"/>
  <c r="NX7" i="1"/>
  <c r="NY7" i="1"/>
  <c r="NZ7" i="1"/>
  <c r="OA7" i="1"/>
  <c r="OC7" i="1"/>
  <c r="OD7" i="1"/>
  <c r="OE7" i="1"/>
  <c r="OF7" i="1"/>
  <c r="OG7" i="1"/>
  <c r="OH7" i="1"/>
  <c r="OI7" i="1"/>
  <c r="OJ7" i="1"/>
  <c r="OK7" i="1"/>
  <c r="OM7" i="1"/>
  <c r="ON7" i="1"/>
  <c r="OO7" i="1"/>
  <c r="OP7" i="1"/>
  <c r="GW8" i="1"/>
  <c r="GX8" i="1"/>
  <c r="GY8" i="1"/>
  <c r="GZ8" i="1"/>
  <c r="HA8" i="1"/>
  <c r="HB8" i="1"/>
  <c r="HC8" i="1"/>
  <c r="HD8" i="1"/>
  <c r="HE8" i="1"/>
  <c r="HF8" i="1"/>
  <c r="HH8" i="1"/>
  <c r="HI8" i="1"/>
  <c r="HJ8" i="1"/>
  <c r="HK8" i="1"/>
  <c r="HL8" i="1"/>
  <c r="HM8" i="1"/>
  <c r="HN8" i="1"/>
  <c r="HO8" i="1"/>
  <c r="HP8" i="1"/>
  <c r="HS8" i="1"/>
  <c r="HU8" i="1"/>
  <c r="HV8" i="1"/>
  <c r="HW8" i="1"/>
  <c r="HX8" i="1"/>
  <c r="HY8" i="1"/>
  <c r="HZ8" i="1"/>
  <c r="IA8" i="1"/>
  <c r="IB8" i="1"/>
  <c r="IC8" i="1"/>
  <c r="IG8" i="1"/>
  <c r="IH8" i="1"/>
  <c r="II8" i="1"/>
  <c r="IJ8" i="1"/>
  <c r="IK8" i="1"/>
  <c r="IL8" i="1"/>
  <c r="IM8" i="1"/>
  <c r="IO8" i="1"/>
  <c r="IP8" i="1"/>
  <c r="IR8" i="1"/>
  <c r="IS8" i="1"/>
  <c r="IU8" i="1"/>
  <c r="IV8" i="1"/>
  <c r="IW8" i="1"/>
  <c r="IY8" i="1"/>
  <c r="IZ8" i="1"/>
  <c r="JB8" i="1"/>
  <c r="JC8" i="1"/>
  <c r="JD8" i="1"/>
  <c r="JE8" i="1"/>
  <c r="JF8" i="1"/>
  <c r="JG8" i="1"/>
  <c r="JH8" i="1"/>
  <c r="JI8" i="1"/>
  <c r="JJ8" i="1"/>
  <c r="JK8" i="1"/>
  <c r="JL8" i="1"/>
  <c r="JN8" i="1"/>
  <c r="JO8" i="1"/>
  <c r="JP8" i="1"/>
  <c r="JQ8" i="1"/>
  <c r="JR8" i="1"/>
  <c r="JS8" i="1"/>
  <c r="JT8" i="1"/>
  <c r="JU8" i="1"/>
  <c r="JV8" i="1"/>
  <c r="JW8" i="1"/>
  <c r="JY8" i="1"/>
  <c r="KA8" i="1"/>
  <c r="KC8" i="1"/>
  <c r="KD8" i="1"/>
  <c r="KE8" i="1"/>
  <c r="KG8" i="1"/>
  <c r="KK8" i="1"/>
  <c r="KM8" i="1"/>
  <c r="KN8" i="1"/>
  <c r="KO8" i="1"/>
  <c r="KQ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I8" i="1"/>
  <c r="LJ8" i="1"/>
  <c r="LK8" i="1"/>
  <c r="LL8" i="1"/>
  <c r="LM8" i="1"/>
  <c r="LN8" i="1"/>
  <c r="LO8" i="1"/>
  <c r="LP8" i="1"/>
  <c r="LQ8" i="1"/>
  <c r="LR8" i="1"/>
  <c r="LS8" i="1"/>
  <c r="LU8" i="1"/>
  <c r="LV8" i="1"/>
  <c r="LW8" i="1"/>
  <c r="LY8" i="1"/>
  <c r="LZ8" i="1"/>
  <c r="MA8" i="1"/>
  <c r="MB8" i="1"/>
  <c r="MC8" i="1"/>
  <c r="MD8" i="1"/>
  <c r="MF8" i="1"/>
  <c r="MG8" i="1"/>
  <c r="MH8" i="1"/>
  <c r="MI8" i="1"/>
  <c r="MJ8" i="1"/>
  <c r="MK8" i="1"/>
  <c r="ML8" i="1"/>
  <c r="MM8" i="1"/>
  <c r="MN8" i="1"/>
  <c r="MO8" i="1"/>
  <c r="MP8" i="1"/>
  <c r="MQ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L8" i="1"/>
  <c r="NM8" i="1"/>
  <c r="NN8" i="1"/>
  <c r="NO8" i="1"/>
  <c r="NQ8" i="1"/>
  <c r="NR8" i="1"/>
  <c r="NS8" i="1"/>
  <c r="NT8" i="1"/>
  <c r="NV8" i="1"/>
  <c r="NY8" i="1"/>
  <c r="NZ8" i="1"/>
  <c r="OA8" i="1"/>
  <c r="OC8" i="1"/>
  <c r="OD8" i="1"/>
  <c r="OE8" i="1"/>
  <c r="OF8" i="1"/>
  <c r="OG8" i="1"/>
  <c r="OH8" i="1"/>
  <c r="OI8" i="1"/>
  <c r="OJ8" i="1"/>
  <c r="OK8" i="1"/>
  <c r="OL8" i="1"/>
  <c r="OM8" i="1"/>
  <c r="ON8" i="1"/>
  <c r="OP8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P9" i="1"/>
  <c r="HR9" i="1"/>
  <c r="HS9" i="1"/>
  <c r="HT9" i="1"/>
  <c r="HU9" i="1"/>
  <c r="HV9" i="1"/>
  <c r="HW9" i="1"/>
  <c r="HX9" i="1"/>
  <c r="IA9" i="1"/>
  <c r="IB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V9" i="1"/>
  <c r="IW9" i="1"/>
  <c r="IX9" i="1"/>
  <c r="IY9" i="1"/>
  <c r="IZ9" i="1"/>
  <c r="JB9" i="1"/>
  <c r="JC9" i="1"/>
  <c r="JD9" i="1"/>
  <c r="JF9" i="1"/>
  <c r="JG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W9" i="1"/>
  <c r="JY9" i="1"/>
  <c r="JZ9" i="1"/>
  <c r="KA9" i="1"/>
  <c r="KC9" i="1"/>
  <c r="KD9" i="1"/>
  <c r="KE9" i="1"/>
  <c r="KF9" i="1"/>
  <c r="KG9" i="1"/>
  <c r="KI9" i="1"/>
  <c r="KK9" i="1"/>
  <c r="KL9" i="1"/>
  <c r="KN9" i="1"/>
  <c r="KO9" i="1"/>
  <c r="KQ9" i="1"/>
  <c r="KR9" i="1"/>
  <c r="KS9" i="1"/>
  <c r="KT9" i="1"/>
  <c r="KU9" i="1"/>
  <c r="KV9" i="1"/>
  <c r="KX9" i="1"/>
  <c r="KZ9" i="1"/>
  <c r="LA9" i="1"/>
  <c r="LC9" i="1"/>
  <c r="LD9" i="1"/>
  <c r="LE9" i="1"/>
  <c r="LG9" i="1"/>
  <c r="LI9" i="1"/>
  <c r="LJ9" i="1"/>
  <c r="LK9" i="1"/>
  <c r="LL9" i="1"/>
  <c r="LM9" i="1"/>
  <c r="LN9" i="1"/>
  <c r="LP9" i="1"/>
  <c r="LQ9" i="1"/>
  <c r="LR9" i="1"/>
  <c r="LS9" i="1"/>
  <c r="LT9" i="1"/>
  <c r="LV9" i="1"/>
  <c r="LW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S9" i="1"/>
  <c r="MT9" i="1"/>
  <c r="MU9" i="1"/>
  <c r="MV9" i="1"/>
  <c r="MX9" i="1"/>
  <c r="MY9" i="1"/>
  <c r="MZ9" i="1"/>
  <c r="NB9" i="1"/>
  <c r="NC9" i="1"/>
  <c r="ND9" i="1"/>
  <c r="NF9" i="1"/>
  <c r="NG9" i="1"/>
  <c r="NH9" i="1"/>
  <c r="NI9" i="1"/>
  <c r="NJ9" i="1"/>
  <c r="NK9" i="1"/>
  <c r="NL9" i="1"/>
  <c r="NQ9" i="1"/>
  <c r="NR9" i="1"/>
  <c r="NS9" i="1"/>
  <c r="NT9" i="1"/>
  <c r="NU9" i="1"/>
  <c r="NW9" i="1"/>
  <c r="NZ9" i="1"/>
  <c r="OA9" i="1"/>
  <c r="OB9" i="1"/>
  <c r="OC9" i="1"/>
  <c r="OD9" i="1"/>
  <c r="OE9" i="1"/>
  <c r="OF9" i="1"/>
  <c r="OH9" i="1"/>
  <c r="OI9" i="1"/>
  <c r="OJ9" i="1"/>
  <c r="OK9" i="1"/>
  <c r="OL9" i="1"/>
  <c r="OM9" i="1"/>
  <c r="ON9" i="1"/>
  <c r="OO9" i="1"/>
  <c r="OP9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R10" i="1"/>
  <c r="HS10" i="1"/>
  <c r="HT10" i="1"/>
  <c r="HU10" i="1"/>
  <c r="HV10" i="1"/>
  <c r="HW10" i="1"/>
  <c r="HX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O10" i="1"/>
  <c r="LP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H10" i="1"/>
  <c r="MI10" i="1"/>
  <c r="MJ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P10" i="1"/>
  <c r="NQ10" i="1"/>
  <c r="NS10" i="1"/>
  <c r="NT10" i="1"/>
  <c r="NU10" i="1"/>
  <c r="NV10" i="1"/>
  <c r="NW10" i="1"/>
  <c r="NY10" i="1"/>
  <c r="OA10" i="1"/>
  <c r="OB10" i="1"/>
  <c r="OC10" i="1"/>
  <c r="OD10" i="1"/>
  <c r="OE10" i="1"/>
  <c r="OF10" i="1"/>
  <c r="OH10" i="1"/>
  <c r="OI10" i="1"/>
  <c r="OJ10" i="1"/>
  <c r="OL10" i="1"/>
  <c r="OM10" i="1"/>
  <c r="ON10" i="1"/>
  <c r="OO10" i="1"/>
  <c r="OP10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P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N11" i="1"/>
  <c r="JO11" i="1"/>
  <c r="JP11" i="1"/>
  <c r="JQ11" i="1"/>
  <c r="JR11" i="1"/>
  <c r="JS11" i="1"/>
  <c r="JT11" i="1"/>
  <c r="JU11" i="1"/>
  <c r="JX11" i="1"/>
  <c r="JY11" i="1"/>
  <c r="KA11" i="1"/>
  <c r="KC11" i="1"/>
  <c r="KD11" i="1"/>
  <c r="KE11" i="1"/>
  <c r="KG11" i="1"/>
  <c r="KH11" i="1"/>
  <c r="KI11" i="1"/>
  <c r="KJ11" i="1"/>
  <c r="KK11" i="1"/>
  <c r="KL11" i="1"/>
  <c r="KM11" i="1"/>
  <c r="KN11" i="1"/>
  <c r="KO11" i="1"/>
  <c r="KP11" i="1"/>
  <c r="KQ11" i="1"/>
  <c r="KS11" i="1"/>
  <c r="KT11" i="1"/>
  <c r="KU11" i="1"/>
  <c r="KV11" i="1"/>
  <c r="KW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R11" i="1"/>
  <c r="MS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W11" i="1"/>
  <c r="NX11" i="1"/>
  <c r="NY11" i="1"/>
  <c r="NZ11" i="1"/>
  <c r="OA11" i="1"/>
  <c r="OB11" i="1"/>
  <c r="OC11" i="1"/>
  <c r="OE11" i="1"/>
  <c r="OF11" i="1"/>
  <c r="OG11" i="1"/>
  <c r="OI11" i="1"/>
  <c r="OK11" i="1"/>
  <c r="OL11" i="1"/>
  <c r="OM11" i="1"/>
  <c r="ON11" i="1"/>
  <c r="OO11" i="1"/>
  <c r="GY12" i="1"/>
  <c r="GZ12" i="1"/>
  <c r="HA12" i="1"/>
  <c r="HB12" i="1"/>
  <c r="HC12" i="1"/>
  <c r="HD12" i="1"/>
  <c r="HE12" i="1"/>
  <c r="HF12" i="1"/>
  <c r="HH12" i="1"/>
  <c r="HI12" i="1"/>
  <c r="HJ12" i="1"/>
  <c r="HK12" i="1"/>
  <c r="HL12" i="1"/>
  <c r="HN12" i="1"/>
  <c r="HO12" i="1"/>
  <c r="HP12" i="1"/>
  <c r="HQ12" i="1"/>
  <c r="HR12" i="1"/>
  <c r="HS12" i="1"/>
  <c r="HT12" i="1"/>
  <c r="HV12" i="1"/>
  <c r="HW12" i="1"/>
  <c r="HX12" i="1"/>
  <c r="HY12" i="1"/>
  <c r="HZ12" i="1"/>
  <c r="IA12" i="1"/>
  <c r="IB12" i="1"/>
  <c r="IC12" i="1"/>
  <c r="IE12" i="1"/>
  <c r="IF12" i="1"/>
  <c r="IG12" i="1"/>
  <c r="IH12" i="1"/>
  <c r="II12" i="1"/>
  <c r="IK12" i="1"/>
  <c r="IL12" i="1"/>
  <c r="IM12" i="1"/>
  <c r="IN12" i="1"/>
  <c r="IO12" i="1"/>
  <c r="IP12" i="1"/>
  <c r="IQ12" i="1"/>
  <c r="IS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MA12" i="1"/>
  <c r="MB12" i="1"/>
  <c r="MC12" i="1"/>
  <c r="MD12" i="1"/>
  <c r="ME12" i="1"/>
  <c r="MF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G12" i="1"/>
  <c r="NH12" i="1"/>
  <c r="NI12" i="1"/>
  <c r="NJ12" i="1"/>
  <c r="NK12" i="1"/>
  <c r="NL12" i="1"/>
  <c r="NM12" i="1"/>
  <c r="NN12" i="1"/>
  <c r="NO12" i="1"/>
  <c r="NQ12" i="1"/>
  <c r="NS12" i="1"/>
  <c r="NT12" i="1"/>
  <c r="NU12" i="1"/>
  <c r="NV12" i="1"/>
  <c r="NW12" i="1"/>
  <c r="NX12" i="1"/>
  <c r="NY12" i="1"/>
  <c r="NZ12" i="1"/>
  <c r="OA12" i="1"/>
  <c r="OB12" i="1"/>
  <c r="OD12" i="1"/>
  <c r="OE12" i="1"/>
  <c r="OF12" i="1"/>
  <c r="OH12" i="1"/>
  <c r="OJ12" i="1"/>
  <c r="OK12" i="1"/>
  <c r="OL12" i="1"/>
  <c r="OM12" i="1"/>
  <c r="ON12" i="1"/>
  <c r="OO12" i="1"/>
  <c r="OP12" i="1"/>
  <c r="GW13" i="1"/>
  <c r="GX13" i="1"/>
  <c r="GY13" i="1"/>
  <c r="GZ13" i="1"/>
  <c r="HA13" i="1"/>
  <c r="HB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T13" i="1"/>
  <c r="JU13" i="1"/>
  <c r="JV13" i="1"/>
  <c r="JX13" i="1"/>
  <c r="JY13" i="1"/>
  <c r="JZ13" i="1"/>
  <c r="KA13" i="1"/>
  <c r="KB13" i="1"/>
  <c r="KC13" i="1"/>
  <c r="KE13" i="1"/>
  <c r="KF13" i="1"/>
  <c r="KG13" i="1"/>
  <c r="KH13" i="1"/>
  <c r="KI13" i="1"/>
  <c r="KJ13" i="1"/>
  <c r="KK13" i="1"/>
  <c r="KL13" i="1"/>
  <c r="KM13" i="1"/>
  <c r="KN13" i="1"/>
  <c r="KP13" i="1"/>
  <c r="KQ13" i="1"/>
  <c r="KR13" i="1"/>
  <c r="KS13" i="1"/>
  <c r="KT13" i="1"/>
  <c r="KU13" i="1"/>
  <c r="KV13" i="1"/>
  <c r="KW13" i="1"/>
  <c r="KX13" i="1"/>
  <c r="KY13" i="1"/>
  <c r="KZ13" i="1"/>
  <c r="LC13" i="1"/>
  <c r="LD13" i="1"/>
  <c r="LE13" i="1"/>
  <c r="LF13" i="1"/>
  <c r="LG13" i="1"/>
  <c r="LI13" i="1"/>
  <c r="LJ13" i="1"/>
  <c r="LK13" i="1"/>
  <c r="LL13" i="1"/>
  <c r="LM13" i="1"/>
  <c r="LN13" i="1"/>
  <c r="LO13" i="1"/>
  <c r="LP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J13" i="1"/>
  <c r="MK13" i="1"/>
  <c r="MM13" i="1"/>
  <c r="MN13" i="1"/>
  <c r="MO13" i="1"/>
  <c r="MP13" i="1"/>
  <c r="MR13" i="1"/>
  <c r="MS13" i="1"/>
  <c r="MT13" i="1"/>
  <c r="MU13" i="1"/>
  <c r="MW13" i="1"/>
  <c r="MX13" i="1"/>
  <c r="MY13" i="1"/>
  <c r="MZ13" i="1"/>
  <c r="NA13" i="1"/>
  <c r="NB13" i="1"/>
  <c r="NC13" i="1"/>
  <c r="NE13" i="1"/>
  <c r="NF13" i="1"/>
  <c r="NG13" i="1"/>
  <c r="NH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X13" i="1"/>
  <c r="NY13" i="1"/>
  <c r="NZ13" i="1"/>
  <c r="OA13" i="1"/>
  <c r="OB13" i="1"/>
  <c r="OD13" i="1"/>
  <c r="OE13" i="1"/>
  <c r="OF13" i="1"/>
  <c r="OG13" i="1"/>
  <c r="OH13" i="1"/>
  <c r="OI13" i="1"/>
  <c r="OJ13" i="1"/>
  <c r="OK13" i="1"/>
  <c r="OL13" i="1"/>
  <c r="OM13" i="1"/>
  <c r="ON13" i="1"/>
  <c r="OO13" i="1"/>
  <c r="OP13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OK14" i="1"/>
  <c r="OL14" i="1"/>
  <c r="OM14" i="1"/>
  <c r="ON14" i="1"/>
  <c r="OO14" i="1"/>
  <c r="OP14" i="1"/>
  <c r="GW15" i="1"/>
  <c r="GX15" i="1"/>
  <c r="GY15" i="1"/>
  <c r="GZ15" i="1"/>
  <c r="HA15" i="1"/>
  <c r="HB15" i="1"/>
  <c r="HD15" i="1"/>
  <c r="HE15" i="1"/>
  <c r="HG15" i="1"/>
  <c r="HI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Z15" i="1"/>
  <c r="IA15" i="1"/>
  <c r="ID15" i="1"/>
  <c r="IE15" i="1"/>
  <c r="IF15" i="1"/>
  <c r="IG15" i="1"/>
  <c r="II15" i="1"/>
  <c r="IJ15" i="1"/>
  <c r="IK15" i="1"/>
  <c r="IL15" i="1"/>
  <c r="IM15" i="1"/>
  <c r="IN15" i="1"/>
  <c r="IO15" i="1"/>
  <c r="IP15" i="1"/>
  <c r="IQ15" i="1"/>
  <c r="IR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B15" i="1"/>
  <c r="KC15" i="1"/>
  <c r="KD15" i="1"/>
  <c r="KE15" i="1"/>
  <c r="KF15" i="1"/>
  <c r="KG15" i="1"/>
  <c r="KH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R15" i="1"/>
  <c r="LS15" i="1"/>
  <c r="LT15" i="1"/>
  <c r="LU15" i="1"/>
  <c r="LV15" i="1"/>
  <c r="LW15" i="1"/>
  <c r="LX15" i="1"/>
  <c r="LY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Q15" i="1"/>
  <c r="MR15" i="1"/>
  <c r="MS15" i="1"/>
  <c r="MT15" i="1"/>
  <c r="MU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L15" i="1"/>
  <c r="NM15" i="1"/>
  <c r="NO15" i="1"/>
  <c r="NP15" i="1"/>
  <c r="NR15" i="1"/>
  <c r="NS15" i="1"/>
  <c r="NT15" i="1"/>
  <c r="NU15" i="1"/>
  <c r="NV15" i="1"/>
  <c r="NW15" i="1"/>
  <c r="NX15" i="1"/>
  <c r="NZ15" i="1"/>
  <c r="OA15" i="1"/>
  <c r="OB15" i="1"/>
  <c r="OC15" i="1"/>
  <c r="OF15" i="1"/>
  <c r="OG15" i="1"/>
  <c r="OH15" i="1"/>
  <c r="OI15" i="1"/>
  <c r="OJ15" i="1"/>
  <c r="OK15" i="1"/>
  <c r="OL15" i="1"/>
  <c r="OM15" i="1"/>
  <c r="ON15" i="1"/>
  <c r="OO15" i="1"/>
  <c r="OP15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K16" i="1"/>
  <c r="OL16" i="1"/>
  <c r="OM16" i="1"/>
  <c r="ON16" i="1"/>
  <c r="OO16" i="1"/>
  <c r="OP16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OK17" i="1"/>
  <c r="OL17" i="1"/>
  <c r="OM17" i="1"/>
  <c r="ON17" i="1"/>
  <c r="OO17" i="1"/>
  <c r="OP17" i="1"/>
  <c r="GW18" i="1"/>
  <c r="GX18" i="1"/>
  <c r="GY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P18" i="1"/>
  <c r="IS18" i="1"/>
  <c r="IU18" i="1"/>
  <c r="IW18" i="1"/>
  <c r="IY18" i="1"/>
  <c r="IZ18" i="1"/>
  <c r="JA18" i="1"/>
  <c r="JB18" i="1"/>
  <c r="JC18" i="1"/>
  <c r="JD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G18" i="1"/>
  <c r="KH18" i="1"/>
  <c r="KI18" i="1"/>
  <c r="KJ18" i="1"/>
  <c r="KK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Z18" i="1"/>
  <c r="LB18" i="1"/>
  <c r="LC18" i="1"/>
  <c r="LD18" i="1"/>
  <c r="LE18" i="1"/>
  <c r="LG18" i="1"/>
  <c r="LH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Y18" i="1"/>
  <c r="LZ18" i="1"/>
  <c r="MA18" i="1"/>
  <c r="MB18" i="1"/>
  <c r="MC18" i="1"/>
  <c r="MD18" i="1"/>
  <c r="ME18" i="1"/>
  <c r="MF18" i="1"/>
  <c r="MG18" i="1"/>
  <c r="MH18" i="1"/>
  <c r="MI18" i="1"/>
  <c r="MK18" i="1"/>
  <c r="ML18" i="1"/>
  <c r="MM18" i="1"/>
  <c r="MP18" i="1"/>
  <c r="MQ18" i="1"/>
  <c r="MR18" i="1"/>
  <c r="MS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S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J18" i="1"/>
  <c r="OL18" i="1"/>
  <c r="OM18" i="1"/>
  <c r="ON18" i="1"/>
  <c r="OO18" i="1"/>
  <c r="OP18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OH19" i="1"/>
  <c r="OI19" i="1"/>
  <c r="OJ19" i="1"/>
  <c r="OK19" i="1"/>
  <c r="OL19" i="1"/>
  <c r="OM19" i="1"/>
  <c r="ON19" i="1"/>
  <c r="OO19" i="1"/>
  <c r="OP19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HM20" i="1"/>
  <c r="HN20" i="1"/>
  <c r="HP20" i="1"/>
  <c r="HQ20" i="1"/>
  <c r="HR20" i="1"/>
  <c r="HS20" i="1"/>
  <c r="HV20" i="1"/>
  <c r="HW20" i="1"/>
  <c r="HX20" i="1"/>
  <c r="HZ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P20" i="1"/>
  <c r="IR20" i="1"/>
  <c r="IS20" i="1"/>
  <c r="IT20" i="1"/>
  <c r="IU20" i="1"/>
  <c r="IV20" i="1"/>
  <c r="IW20" i="1"/>
  <c r="IX20" i="1"/>
  <c r="IY20" i="1"/>
  <c r="IZ20" i="1"/>
  <c r="JB20" i="1"/>
  <c r="JC20" i="1"/>
  <c r="JD20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S20" i="1"/>
  <c r="JT20" i="1"/>
  <c r="JU20" i="1"/>
  <c r="JV20" i="1"/>
  <c r="JY20" i="1"/>
  <c r="JZ20" i="1"/>
  <c r="KA20" i="1"/>
  <c r="KB20" i="1"/>
  <c r="KC20" i="1"/>
  <c r="KD20" i="1"/>
  <c r="KF20" i="1"/>
  <c r="KG20" i="1"/>
  <c r="KH20" i="1"/>
  <c r="KJ20" i="1"/>
  <c r="KL20" i="1"/>
  <c r="KM20" i="1"/>
  <c r="KN20" i="1"/>
  <c r="KO20" i="1"/>
  <c r="KP20" i="1"/>
  <c r="KR20" i="1"/>
  <c r="KS20" i="1"/>
  <c r="KT20" i="1"/>
  <c r="KU20" i="1"/>
  <c r="KV20" i="1"/>
  <c r="KW20" i="1"/>
  <c r="KX20" i="1"/>
  <c r="KY20" i="1"/>
  <c r="KZ20" i="1"/>
  <c r="LA20" i="1"/>
  <c r="LB20" i="1"/>
  <c r="LC20" i="1"/>
  <c r="LD20" i="1"/>
  <c r="LE20" i="1"/>
  <c r="LF20" i="1"/>
  <c r="LG20" i="1"/>
  <c r="LH20" i="1"/>
  <c r="LI20" i="1"/>
  <c r="LJ20" i="1"/>
  <c r="LK20" i="1"/>
  <c r="LL20" i="1"/>
  <c r="LM20" i="1"/>
  <c r="LN20" i="1"/>
  <c r="LO20" i="1"/>
  <c r="LQ20" i="1"/>
  <c r="LR20" i="1"/>
  <c r="LS20" i="1"/>
  <c r="LT20" i="1"/>
  <c r="LU20" i="1"/>
  <c r="LV20" i="1"/>
  <c r="LY20" i="1"/>
  <c r="LZ20" i="1"/>
  <c r="MB20" i="1"/>
  <c r="MD20" i="1"/>
  <c r="ME20" i="1"/>
  <c r="MF20" i="1"/>
  <c r="MG20" i="1"/>
  <c r="MH20" i="1"/>
  <c r="MI20" i="1"/>
  <c r="MJ20" i="1"/>
  <c r="MK20" i="1"/>
  <c r="ML20" i="1"/>
  <c r="MO20" i="1"/>
  <c r="MP20" i="1"/>
  <c r="MQ20" i="1"/>
  <c r="MR20" i="1"/>
  <c r="MS20" i="1"/>
  <c r="MT20" i="1"/>
  <c r="MV20" i="1"/>
  <c r="MW20" i="1"/>
  <c r="MX20" i="1"/>
  <c r="MY20" i="1"/>
  <c r="MZ20" i="1"/>
  <c r="NA20" i="1"/>
  <c r="NB20" i="1"/>
  <c r="ND20" i="1"/>
  <c r="NE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T20" i="1"/>
  <c r="NU20" i="1"/>
  <c r="NV20" i="1"/>
  <c r="NW20" i="1"/>
  <c r="NX20" i="1"/>
  <c r="NZ20" i="1"/>
  <c r="OA20" i="1"/>
  <c r="OB20" i="1"/>
  <c r="OC20" i="1"/>
  <c r="OE20" i="1"/>
  <c r="OF20" i="1"/>
  <c r="OG20" i="1"/>
  <c r="OI20" i="1"/>
  <c r="OJ20" i="1"/>
  <c r="OK20" i="1"/>
  <c r="OL20" i="1"/>
  <c r="OM20" i="1"/>
  <c r="ON20" i="1"/>
  <c r="OO20" i="1"/>
  <c r="OP20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O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P21" i="1"/>
  <c r="IQ21" i="1"/>
  <c r="IR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Z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W21" i="1"/>
  <c r="KX21" i="1"/>
  <c r="KY21" i="1"/>
  <c r="KZ21" i="1"/>
  <c r="LA21" i="1"/>
  <c r="LC21" i="1"/>
  <c r="LD21" i="1"/>
  <c r="LE21" i="1"/>
  <c r="LF21" i="1"/>
  <c r="LG21" i="1"/>
  <c r="LH21" i="1"/>
  <c r="LI21" i="1"/>
  <c r="LJ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X21" i="1"/>
  <c r="MY21" i="1"/>
  <c r="MZ21" i="1"/>
  <c r="NA21" i="1"/>
  <c r="NB21" i="1"/>
  <c r="ND21" i="1"/>
  <c r="NF21" i="1"/>
  <c r="NG21" i="1"/>
  <c r="NH21" i="1"/>
  <c r="NI21" i="1"/>
  <c r="NJ21" i="1"/>
  <c r="NK21" i="1"/>
  <c r="NL21" i="1"/>
  <c r="NM21" i="1"/>
  <c r="NN21" i="1"/>
  <c r="NP21" i="1"/>
  <c r="NQ21" i="1"/>
  <c r="NR21" i="1"/>
  <c r="NT21" i="1"/>
  <c r="NV21" i="1"/>
  <c r="NW21" i="1"/>
  <c r="NX21" i="1"/>
  <c r="NY21" i="1"/>
  <c r="NZ21" i="1"/>
  <c r="OA21" i="1"/>
  <c r="OB21" i="1"/>
  <c r="OC21" i="1"/>
  <c r="OE21" i="1"/>
  <c r="OF21" i="1"/>
  <c r="OG21" i="1"/>
  <c r="OH21" i="1"/>
  <c r="OI21" i="1"/>
  <c r="OJ21" i="1"/>
  <c r="OK21" i="1"/>
  <c r="OL21" i="1"/>
  <c r="OM21" i="1"/>
  <c r="ON21" i="1"/>
  <c r="OO21" i="1"/>
  <c r="OP21" i="1"/>
  <c r="GW22" i="1"/>
  <c r="GX22" i="1"/>
  <c r="GY22" i="1"/>
  <c r="GZ22" i="1"/>
  <c r="HA22" i="1"/>
  <c r="HB22" i="1"/>
  <c r="HC22" i="1"/>
  <c r="HE22" i="1"/>
  <c r="HF22" i="1"/>
  <c r="HH22" i="1"/>
  <c r="HI22" i="1"/>
  <c r="HJ22" i="1"/>
  <c r="HK22" i="1"/>
  <c r="HL22" i="1"/>
  <c r="HO22" i="1"/>
  <c r="HP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M22" i="1"/>
  <c r="IO22" i="1"/>
  <c r="IP22" i="1"/>
  <c r="IQ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Z22" i="1"/>
  <c r="KA22" i="1"/>
  <c r="KB22" i="1"/>
  <c r="KC22" i="1"/>
  <c r="KD22" i="1"/>
  <c r="KE22" i="1"/>
  <c r="KG22" i="1"/>
  <c r="KH22" i="1"/>
  <c r="KL22" i="1"/>
  <c r="KM22" i="1"/>
  <c r="KN22" i="1"/>
  <c r="KO22" i="1"/>
  <c r="KP22" i="1"/>
  <c r="KQ22" i="1"/>
  <c r="KR22" i="1"/>
  <c r="KS22" i="1"/>
  <c r="KT22" i="1"/>
  <c r="KV22" i="1"/>
  <c r="KW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MA22" i="1"/>
  <c r="MC22" i="1"/>
  <c r="MD22" i="1"/>
  <c r="ME22" i="1"/>
  <c r="MF22" i="1"/>
  <c r="MH22" i="1"/>
  <c r="MI22" i="1"/>
  <c r="MJ22" i="1"/>
  <c r="MK22" i="1"/>
  <c r="MN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X22" i="1"/>
  <c r="NY22" i="1"/>
  <c r="NZ22" i="1"/>
  <c r="OA22" i="1"/>
  <c r="OB22" i="1"/>
  <c r="OC22" i="1"/>
  <c r="OD22" i="1"/>
  <c r="OE22" i="1"/>
  <c r="OF22" i="1"/>
  <c r="OH22" i="1"/>
  <c r="OI22" i="1"/>
  <c r="OL22" i="1"/>
  <c r="OM22" i="1"/>
  <c r="ON22" i="1"/>
  <c r="OO22" i="1"/>
  <c r="OP22" i="1"/>
  <c r="GW23" i="1"/>
  <c r="GX23" i="1"/>
  <c r="GY23" i="1"/>
  <c r="GZ23" i="1"/>
  <c r="HA23" i="1"/>
  <c r="HB23" i="1"/>
  <c r="HC23" i="1"/>
  <c r="HD23" i="1"/>
  <c r="HF23" i="1"/>
  <c r="HG23" i="1"/>
  <c r="HH23" i="1"/>
  <c r="HI23" i="1"/>
  <c r="HJ23" i="1"/>
  <c r="HK23" i="1"/>
  <c r="HL23" i="1"/>
  <c r="HN23" i="1"/>
  <c r="HO23" i="1"/>
  <c r="HP23" i="1"/>
  <c r="HQ23" i="1"/>
  <c r="HR23" i="1"/>
  <c r="HS23" i="1"/>
  <c r="HU23" i="1"/>
  <c r="HV23" i="1"/>
  <c r="HW23" i="1"/>
  <c r="HX23" i="1"/>
  <c r="HY23" i="1"/>
  <c r="IA23" i="1"/>
  <c r="IB23" i="1"/>
  <c r="IC23" i="1"/>
  <c r="ID23" i="1"/>
  <c r="IE23" i="1"/>
  <c r="IF23" i="1"/>
  <c r="IG23" i="1"/>
  <c r="IH23" i="1"/>
  <c r="II23" i="1"/>
  <c r="IJ23" i="1"/>
  <c r="IK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N23" i="1"/>
  <c r="JO23" i="1"/>
  <c r="JP23" i="1"/>
  <c r="JQ23" i="1"/>
  <c r="JR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B23" i="1"/>
  <c r="LC23" i="1"/>
  <c r="LD23" i="1"/>
  <c r="LE23" i="1"/>
  <c r="LF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V23" i="1"/>
  <c r="LW23" i="1"/>
  <c r="LY23" i="1"/>
  <c r="LZ23" i="1"/>
  <c r="MA23" i="1"/>
  <c r="MB23" i="1"/>
  <c r="MD23" i="1"/>
  <c r="MF23" i="1"/>
  <c r="MG23" i="1"/>
  <c r="MI23" i="1"/>
  <c r="MK23" i="1"/>
  <c r="ML23" i="1"/>
  <c r="MM23" i="1"/>
  <c r="MN23" i="1"/>
  <c r="MO23" i="1"/>
  <c r="MP23" i="1"/>
  <c r="MQ23" i="1"/>
  <c r="MR23" i="1"/>
  <c r="MS23" i="1"/>
  <c r="MU23" i="1"/>
  <c r="MW23" i="1"/>
  <c r="MX23" i="1"/>
  <c r="MY23" i="1"/>
  <c r="MZ23" i="1"/>
  <c r="NA23" i="1"/>
  <c r="NB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S23" i="1"/>
  <c r="NT23" i="1"/>
  <c r="NW23" i="1"/>
  <c r="NX23" i="1"/>
  <c r="NY23" i="1"/>
  <c r="NZ23" i="1"/>
  <c r="OA23" i="1"/>
  <c r="OB23" i="1"/>
  <c r="OC23" i="1"/>
  <c r="OD23" i="1"/>
  <c r="OF23" i="1"/>
  <c r="OG23" i="1"/>
  <c r="OH23" i="1"/>
  <c r="OI23" i="1"/>
  <c r="OJ23" i="1"/>
  <c r="OK23" i="1"/>
  <c r="OL23" i="1"/>
  <c r="ON23" i="1"/>
  <c r="OO23" i="1"/>
  <c r="OP23" i="1"/>
</calcChain>
</file>

<file path=xl/sharedStrings.xml><?xml version="1.0" encoding="utf-8"?>
<sst xmlns="http://schemas.openxmlformats.org/spreadsheetml/2006/main" count="4395" uniqueCount="2658">
  <si>
    <t>Cord</t>
  </si>
  <si>
    <t>HBin</t>
  </si>
  <si>
    <t>200000_0</t>
  </si>
  <si>
    <t>200001_0</t>
  </si>
  <si>
    <t>200002_0</t>
  </si>
  <si>
    <t>200003_0</t>
  </si>
  <si>
    <t>200004_0</t>
  </si>
  <si>
    <t>200005_0</t>
  </si>
  <si>
    <t>200006_0</t>
  </si>
  <si>
    <t>200007_0</t>
  </si>
  <si>
    <t>200008_0</t>
  </si>
  <si>
    <t>200009_0</t>
  </si>
  <si>
    <t>200010_0</t>
  </si>
  <si>
    <t>200011_0</t>
  </si>
  <si>
    <t>200012_0</t>
  </si>
  <si>
    <t>200013_0</t>
  </si>
  <si>
    <t>200014_0</t>
  </si>
  <si>
    <t>200015_0</t>
  </si>
  <si>
    <t>200016_0</t>
  </si>
  <si>
    <t>200017_0</t>
  </si>
  <si>
    <t>200018_0</t>
  </si>
  <si>
    <t>200019_0</t>
  </si>
  <si>
    <t>200020_0</t>
  </si>
  <si>
    <t>200021_0</t>
  </si>
  <si>
    <t>200022_0</t>
  </si>
  <si>
    <t>200023_0</t>
  </si>
  <si>
    <t>200024_0</t>
  </si>
  <si>
    <t>200025_0</t>
  </si>
  <si>
    <t>200026_0</t>
  </si>
  <si>
    <t>200027_0</t>
  </si>
  <si>
    <t>200028_0</t>
  </si>
  <si>
    <t>200029_0</t>
  </si>
  <si>
    <t>200030_0</t>
  </si>
  <si>
    <t>200031_0</t>
  </si>
  <si>
    <t>200032_0</t>
  </si>
  <si>
    <t>200033_0</t>
  </si>
  <si>
    <t>200034_0</t>
  </si>
  <si>
    <t>200035_0</t>
  </si>
  <si>
    <t>200036_0</t>
  </si>
  <si>
    <t>200037_0</t>
  </si>
  <si>
    <t>200038_0</t>
  </si>
  <si>
    <t>200039_0</t>
  </si>
  <si>
    <t>200040_0</t>
  </si>
  <si>
    <t>200041_0</t>
  </si>
  <si>
    <t>200042_0</t>
  </si>
  <si>
    <t>200043_0</t>
  </si>
  <si>
    <t>200044_0</t>
  </si>
  <si>
    <t>200045_0</t>
  </si>
  <si>
    <t>200046_0</t>
  </si>
  <si>
    <t>200047_0</t>
  </si>
  <si>
    <t>200048_0</t>
  </si>
  <si>
    <t>200049_0</t>
  </si>
  <si>
    <t>200050_0</t>
  </si>
  <si>
    <t>200051_0</t>
  </si>
  <si>
    <t>200052_0</t>
  </si>
  <si>
    <t>200053_0</t>
  </si>
  <si>
    <t>200054_0</t>
  </si>
  <si>
    <t>200055_0</t>
  </si>
  <si>
    <t>200056_0</t>
  </si>
  <si>
    <t>200057_0</t>
  </si>
  <si>
    <t>200058_0</t>
  </si>
  <si>
    <t>200059_0</t>
  </si>
  <si>
    <t>200060_0</t>
  </si>
  <si>
    <t>200061_0</t>
  </si>
  <si>
    <t>200062_0</t>
  </si>
  <si>
    <t>200063_0</t>
  </si>
  <si>
    <t>200064_0</t>
  </si>
  <si>
    <t>200065_0</t>
  </si>
  <si>
    <t>200066_0</t>
  </si>
  <si>
    <t>200067_0</t>
  </si>
  <si>
    <t>200068_0</t>
  </si>
  <si>
    <t>200069_0</t>
  </si>
  <si>
    <t>200070_0</t>
  </si>
  <si>
    <t>200071_0</t>
  </si>
  <si>
    <t>200072_0</t>
  </si>
  <si>
    <t>200073_0</t>
  </si>
  <si>
    <t>200074_0</t>
  </si>
  <si>
    <t>200075_0</t>
  </si>
  <si>
    <t>200076_0</t>
  </si>
  <si>
    <t>200077_0</t>
  </si>
  <si>
    <t>200078_0</t>
  </si>
  <si>
    <t>200079_0</t>
  </si>
  <si>
    <t>200080_0</t>
  </si>
  <si>
    <t>200081_0</t>
  </si>
  <si>
    <t>200082_0</t>
  </si>
  <si>
    <t>200083_0</t>
  </si>
  <si>
    <t>200084_0</t>
  </si>
  <si>
    <t>200085_0</t>
  </si>
  <si>
    <t>200086_0</t>
  </si>
  <si>
    <t>200087_0</t>
  </si>
  <si>
    <t>200088_0</t>
  </si>
  <si>
    <t>200089_0</t>
  </si>
  <si>
    <t>200090_0</t>
  </si>
  <si>
    <t>200091_0</t>
  </si>
  <si>
    <t>200092_0</t>
  </si>
  <si>
    <t>200093_0</t>
  </si>
  <si>
    <t>200094_0</t>
  </si>
  <si>
    <t>200095_0</t>
  </si>
  <si>
    <t>200096_0</t>
  </si>
  <si>
    <t>200097_0</t>
  </si>
  <si>
    <t>200098_0</t>
  </si>
  <si>
    <t>200099_0</t>
  </si>
  <si>
    <t>200100_0</t>
  </si>
  <si>
    <t>200101_0</t>
  </si>
  <si>
    <t>200102_0</t>
  </si>
  <si>
    <t>200103_0</t>
  </si>
  <si>
    <t>200104_0</t>
  </si>
  <si>
    <t>200105_0</t>
  </si>
  <si>
    <t>200106_0</t>
  </si>
  <si>
    <t>200107_0</t>
  </si>
  <si>
    <t>200108_0</t>
  </si>
  <si>
    <t>200109_0</t>
  </si>
  <si>
    <t>200110_0</t>
  </si>
  <si>
    <t>200111_0</t>
  </si>
  <si>
    <t>200112_0</t>
  </si>
  <si>
    <t>200113_0</t>
  </si>
  <si>
    <t>200114_0</t>
  </si>
  <si>
    <t>200115_0</t>
  </si>
  <si>
    <t>200116_0</t>
  </si>
  <si>
    <t>200117_0</t>
  </si>
  <si>
    <t>200118_0</t>
  </si>
  <si>
    <t>200119_0</t>
  </si>
  <si>
    <t>200120_0</t>
  </si>
  <si>
    <t>200121_0</t>
  </si>
  <si>
    <t>200122_0</t>
  </si>
  <si>
    <t>200123_0</t>
  </si>
  <si>
    <t>200124_0</t>
  </si>
  <si>
    <t>200125_0</t>
  </si>
  <si>
    <t>200126_0</t>
  </si>
  <si>
    <t>200127_0</t>
  </si>
  <si>
    <t>200128_0</t>
  </si>
  <si>
    <t>200129_0</t>
  </si>
  <si>
    <t>200130_0</t>
  </si>
  <si>
    <t>200131_0</t>
  </si>
  <si>
    <t>200132_0</t>
  </si>
  <si>
    <t>200133_0</t>
  </si>
  <si>
    <t>200134_0</t>
  </si>
  <si>
    <t>200135_0</t>
  </si>
  <si>
    <t>200136_0</t>
  </si>
  <si>
    <t>200137_0</t>
  </si>
  <si>
    <t>200138_0</t>
  </si>
  <si>
    <t>200139_0</t>
  </si>
  <si>
    <t>200140_0</t>
  </si>
  <si>
    <t>200141_0</t>
  </si>
  <si>
    <t>200142_0</t>
  </si>
  <si>
    <t>200143_0</t>
  </si>
  <si>
    <t>200144_0</t>
  </si>
  <si>
    <t>200145_0</t>
  </si>
  <si>
    <t>200146_0</t>
  </si>
  <si>
    <t>200147_0</t>
  </si>
  <si>
    <t>200148_0</t>
  </si>
  <si>
    <t>200149_0</t>
  </si>
  <si>
    <t>200150_0</t>
  </si>
  <si>
    <t>200151_0</t>
  </si>
  <si>
    <t>200152_0</t>
  </si>
  <si>
    <t>200153_0</t>
  </si>
  <si>
    <t>200154_0</t>
  </si>
  <si>
    <t>200155_0</t>
  </si>
  <si>
    <t>200156_0</t>
  </si>
  <si>
    <t>200157_0</t>
  </si>
  <si>
    <t>200158_0</t>
  </si>
  <si>
    <t>200159_0</t>
  </si>
  <si>
    <t>200160_0</t>
  </si>
  <si>
    <t>200161_0</t>
  </si>
  <si>
    <t>200162_0</t>
  </si>
  <si>
    <t>200163_0</t>
  </si>
  <si>
    <t>200164_0</t>
  </si>
  <si>
    <t>200165_0</t>
  </si>
  <si>
    <t>200166_0</t>
  </si>
  <si>
    <t>200167_0</t>
  </si>
  <si>
    <t>200168_0</t>
  </si>
  <si>
    <t>200169_0</t>
  </si>
  <si>
    <t>200170_0</t>
  </si>
  <si>
    <t>200171_0</t>
  </si>
  <si>
    <t>200172_0</t>
  </si>
  <si>
    <t>200173_0</t>
  </si>
  <si>
    <t>200174_0</t>
  </si>
  <si>
    <t>200175_0</t>
  </si>
  <si>
    <t>200176_0</t>
  </si>
  <si>
    <t>200177_0</t>
  </si>
  <si>
    <t>200178_0</t>
  </si>
  <si>
    <t>200179_0</t>
  </si>
  <si>
    <t>200180_0</t>
  </si>
  <si>
    <t>200181_0</t>
  </si>
  <si>
    <t>200182_0</t>
  </si>
  <si>
    <t>200183_0</t>
  </si>
  <si>
    <t>200184_0</t>
  </si>
  <si>
    <t>200185_0</t>
  </si>
  <si>
    <t>200186_0</t>
  </si>
  <si>
    <t>200187_0</t>
  </si>
  <si>
    <t>200188_0</t>
  </si>
  <si>
    <t>200189_0</t>
  </si>
  <si>
    <t>200190_0</t>
  </si>
  <si>
    <t>200191_0</t>
  </si>
  <si>
    <t>200192_0</t>
  </si>
  <si>
    <t>200193_0</t>
  </si>
  <si>
    <t>200194_0</t>
  </si>
  <si>
    <t>200195_0</t>
  </si>
  <si>
    <t>200196_0</t>
  </si>
  <si>
    <t>200197_0</t>
  </si>
  <si>
    <t>200198_0</t>
  </si>
  <si>
    <t>200199_0</t>
  </si>
  <si>
    <t>200200_0</t>
  </si>
  <si>
    <t>200201_0</t>
  </si>
  <si>
    <t>201000_0</t>
  </si>
  <si>
    <t>201001_0</t>
  </si>
  <si>
    <t>201002_0</t>
  </si>
  <si>
    <t>201003_0</t>
  </si>
  <si>
    <t>201004_0</t>
  </si>
  <si>
    <t>201005_0</t>
  </si>
  <si>
    <t>201006_0</t>
  </si>
  <si>
    <t>201007_0</t>
  </si>
  <si>
    <t>201008_0</t>
  </si>
  <si>
    <t>201009_0</t>
  </si>
  <si>
    <t>201010_0</t>
  </si>
  <si>
    <t>201011_0</t>
  </si>
  <si>
    <t>201012_0</t>
  </si>
  <si>
    <t>201013_0</t>
  </si>
  <si>
    <t>201014_0</t>
  </si>
  <si>
    <t>201015_0</t>
  </si>
  <si>
    <t>201016_0</t>
  </si>
  <si>
    <t>201017_0</t>
  </si>
  <si>
    <t>201018_0</t>
  </si>
  <si>
    <t>201019_0</t>
  </si>
  <si>
    <t>201020_0</t>
  </si>
  <si>
    <t>201021_0</t>
  </si>
  <si>
    <t>201022_0</t>
  </si>
  <si>
    <t>201023_0</t>
  </si>
  <si>
    <t>201024_0</t>
  </si>
  <si>
    <t>201025_0</t>
  </si>
  <si>
    <t>201026_0</t>
  </si>
  <si>
    <t>201027_0</t>
  </si>
  <si>
    <t>201028_0</t>
  </si>
  <si>
    <t>201029_0</t>
  </si>
  <si>
    <t>201030_0</t>
  </si>
  <si>
    <t>201031_0</t>
  </si>
  <si>
    <t>201032_0</t>
  </si>
  <si>
    <t>201033_0</t>
  </si>
  <si>
    <t>201034_0</t>
  </si>
  <si>
    <t>201035_0</t>
  </si>
  <si>
    <t>201036_0</t>
  </si>
  <si>
    <t>201037_0</t>
  </si>
  <si>
    <t>201038_0</t>
  </si>
  <si>
    <t>201039_0</t>
  </si>
  <si>
    <t>201040_0</t>
  </si>
  <si>
    <t>201041_0</t>
  </si>
  <si>
    <t>201042_0</t>
  </si>
  <si>
    <t>201043_0</t>
  </si>
  <si>
    <t>201044_0</t>
  </si>
  <si>
    <t>201045_0</t>
  </si>
  <si>
    <t>201046_0</t>
  </si>
  <si>
    <t>201047_0</t>
  </si>
  <si>
    <t>201048_0</t>
  </si>
  <si>
    <t>201049_0</t>
  </si>
  <si>
    <t>201050_0</t>
  </si>
  <si>
    <t>201051_0</t>
  </si>
  <si>
    <t>201052_0</t>
  </si>
  <si>
    <t>201053_0</t>
  </si>
  <si>
    <t>201054_0</t>
  </si>
  <si>
    <t>201055_0</t>
  </si>
  <si>
    <t>201056_0</t>
  </si>
  <si>
    <t>201057_0</t>
  </si>
  <si>
    <t>201058_0</t>
  </si>
  <si>
    <t>201059_0</t>
  </si>
  <si>
    <t>201060_0</t>
  </si>
  <si>
    <t>201061_0</t>
  </si>
  <si>
    <t>201062_0</t>
  </si>
  <si>
    <t>201063_0</t>
  </si>
  <si>
    <t>201064_0</t>
  </si>
  <si>
    <t>201065_0</t>
  </si>
  <si>
    <t>201066_0</t>
  </si>
  <si>
    <t>201067_0</t>
  </si>
  <si>
    <t>201068_0</t>
  </si>
  <si>
    <t>201069_0</t>
  </si>
  <si>
    <t>201070_0</t>
  </si>
  <si>
    <t>201071_0</t>
  </si>
  <si>
    <t>201072_0</t>
  </si>
  <si>
    <t>201073_0</t>
  </si>
  <si>
    <t>201074_0</t>
  </si>
  <si>
    <t>201075_0</t>
  </si>
  <si>
    <t>201076_0</t>
  </si>
  <si>
    <t>201077_0</t>
  </si>
  <si>
    <t>201078_0</t>
  </si>
  <si>
    <t>201079_0</t>
  </si>
  <si>
    <t>201080_0</t>
  </si>
  <si>
    <t>201081_0</t>
  </si>
  <si>
    <t>201082_0</t>
  </si>
  <si>
    <t>201083_0</t>
  </si>
  <si>
    <t>201084_0</t>
  </si>
  <si>
    <t>201085_0</t>
  </si>
  <si>
    <t>201086_0</t>
  </si>
  <si>
    <t>201087_0</t>
  </si>
  <si>
    <t>201088_0</t>
  </si>
  <si>
    <t>201089_0</t>
  </si>
  <si>
    <t>201090_0</t>
  </si>
  <si>
    <t>201091_0</t>
  </si>
  <si>
    <t>201092_0</t>
  </si>
  <si>
    <t>201093_0</t>
  </si>
  <si>
    <t>201094_0</t>
  </si>
  <si>
    <t>201095_0</t>
  </si>
  <si>
    <t>201096_0</t>
  </si>
  <si>
    <t>201097_0</t>
  </si>
  <si>
    <t>201098_0</t>
  </si>
  <si>
    <t>201099_0</t>
  </si>
  <si>
    <t>201100_0</t>
  </si>
  <si>
    <t>201101_0</t>
  </si>
  <si>
    <t>201102_0</t>
  </si>
  <si>
    <t>201103_0</t>
  </si>
  <si>
    <t>201104_0</t>
  </si>
  <si>
    <t>201105_0</t>
  </si>
  <si>
    <t>201106_0</t>
  </si>
  <si>
    <t>201107_0</t>
  </si>
  <si>
    <t>201108_0</t>
  </si>
  <si>
    <t>201109_0</t>
  </si>
  <si>
    <t>201110_0</t>
  </si>
  <si>
    <t>201111_0</t>
  </si>
  <si>
    <t>201112_0</t>
  </si>
  <si>
    <t>201113_0</t>
  </si>
  <si>
    <t>201114_0</t>
  </si>
  <si>
    <t>201115_0</t>
  </si>
  <si>
    <t>201116_0</t>
  </si>
  <si>
    <t>201117_0</t>
  </si>
  <si>
    <t>201118_0</t>
  </si>
  <si>
    <t>201119_0</t>
  </si>
  <si>
    <t>201120_0</t>
  </si>
  <si>
    <t>201121_0</t>
  </si>
  <si>
    <t>201122_0</t>
  </si>
  <si>
    <t>201123_0</t>
  </si>
  <si>
    <t>201124_0</t>
  </si>
  <si>
    <t>201125_0</t>
  </si>
  <si>
    <t>201126_0</t>
  </si>
  <si>
    <t>201127_0</t>
  </si>
  <si>
    <t>201128_0</t>
  </si>
  <si>
    <t>201129_0</t>
  </si>
  <si>
    <t>201130_0</t>
  </si>
  <si>
    <t>201131_0</t>
  </si>
  <si>
    <t>201132_0</t>
  </si>
  <si>
    <t>201133_0</t>
  </si>
  <si>
    <t>201134_0</t>
  </si>
  <si>
    <t>201135_0</t>
  </si>
  <si>
    <t>201136_0</t>
  </si>
  <si>
    <t>201137_0</t>
  </si>
  <si>
    <t>201138_0</t>
  </si>
  <si>
    <t>201139_0</t>
  </si>
  <si>
    <t>201140_0</t>
  </si>
  <si>
    <t>201141_0</t>
  </si>
  <si>
    <t>201142_0</t>
  </si>
  <si>
    <t>201143_0</t>
  </si>
  <si>
    <t>201144_0</t>
  </si>
  <si>
    <t>201145_0</t>
  </si>
  <si>
    <t>201146_0</t>
  </si>
  <si>
    <t>201147_0</t>
  </si>
  <si>
    <t>201148_0</t>
  </si>
  <si>
    <t>201149_0</t>
  </si>
  <si>
    <t>201150_0</t>
  </si>
  <si>
    <t>201151_0</t>
  </si>
  <si>
    <t>201152_0</t>
  </si>
  <si>
    <t>201153_0</t>
  </si>
  <si>
    <t>201154_0</t>
  </si>
  <si>
    <t>201155_0</t>
  </si>
  <si>
    <t>201156_0</t>
  </si>
  <si>
    <t>201157_0</t>
  </si>
  <si>
    <t>201158_0</t>
  </si>
  <si>
    <t>201159_0</t>
  </si>
  <si>
    <t>201160_0</t>
  </si>
  <si>
    <t>201161_0</t>
  </si>
  <si>
    <t>201162_0</t>
  </si>
  <si>
    <t>201163_0</t>
  </si>
  <si>
    <t>201164_0</t>
  </si>
  <si>
    <t>201165_0</t>
  </si>
  <si>
    <t>201166_0</t>
  </si>
  <si>
    <t>201167_0</t>
  </si>
  <si>
    <t>201168_0</t>
  </si>
  <si>
    <t>201169_0</t>
  </si>
  <si>
    <t>201170_0</t>
  </si>
  <si>
    <t>201171_0</t>
  </si>
  <si>
    <t>201172_0</t>
  </si>
  <si>
    <t>201173_0</t>
  </si>
  <si>
    <t>201174_0</t>
  </si>
  <si>
    <t>201175_0</t>
  </si>
  <si>
    <t>201176_0</t>
  </si>
  <si>
    <t>201177_0</t>
  </si>
  <si>
    <t>201178_0</t>
  </si>
  <si>
    <t>201179_0</t>
  </si>
  <si>
    <t>201180_0</t>
  </si>
  <si>
    <t>201181_0</t>
  </si>
  <si>
    <t>201182_0</t>
  </si>
  <si>
    <t>201183_0</t>
  </si>
  <si>
    <t>201184_0</t>
  </si>
  <si>
    <t>201185_0</t>
  </si>
  <si>
    <t>201186_0</t>
  </si>
  <si>
    <t>201187_0</t>
  </si>
  <si>
    <t>201188_0</t>
  </si>
  <si>
    <t>201189_0</t>
  </si>
  <si>
    <t>201190_0</t>
  </si>
  <si>
    <t>201191_0</t>
  </si>
  <si>
    <t>201192_0</t>
  </si>
  <si>
    <t>201193_0</t>
  </si>
  <si>
    <t>201194_0</t>
  </si>
  <si>
    <t>201195_0</t>
  </si>
  <si>
    <t>201196_0</t>
  </si>
  <si>
    <t>201197_0</t>
  </si>
  <si>
    <t>201198_0</t>
  </si>
  <si>
    <t>201199_0</t>
  </si>
  <si>
    <t>201200_0</t>
  </si>
  <si>
    <t>201201_0</t>
  </si>
  <si>
    <t>401000_0</t>
  </si>
  <si>
    <t>401001_0</t>
  </si>
  <si>
    <t>402000_0</t>
  </si>
  <si>
    <t>402001_0</t>
  </si>
  <si>
    <t>402002_0</t>
  </si>
  <si>
    <t>403000_0</t>
  </si>
  <si>
    <t>403001_0</t>
  </si>
  <si>
    <t>403002_0</t>
  </si>
  <si>
    <t>403003_0</t>
  </si>
  <si>
    <t>404000_0</t>
  </si>
  <si>
    <t>404001_0</t>
  </si>
  <si>
    <t>404002_0</t>
  </si>
  <si>
    <t>404003_0</t>
  </si>
  <si>
    <t>405000_0</t>
  </si>
  <si>
    <t>405001_0</t>
  </si>
  <si>
    <t>405002_0</t>
  </si>
  <si>
    <t>405003_0</t>
  </si>
  <si>
    <t>406000_0</t>
  </si>
  <si>
    <t>406001_0</t>
  </si>
  <si>
    <t>406002_0</t>
  </si>
  <si>
    <t>407000_0</t>
  </si>
  <si>
    <t>407001_0</t>
  </si>
  <si>
    <t>407002_0</t>
  </si>
  <si>
    <t>407003_0</t>
  </si>
  <si>
    <t>407004_0</t>
  </si>
  <si>
    <t>407005_0</t>
  </si>
  <si>
    <t>407006_0</t>
  </si>
  <si>
    <t>407007_0</t>
  </si>
  <si>
    <t>407008_0</t>
  </si>
  <si>
    <t>407009_0</t>
  </si>
  <si>
    <t>417000_0</t>
  </si>
  <si>
    <t>418000_0</t>
  </si>
  <si>
    <t>418001_0</t>
  </si>
  <si>
    <t>418002_0</t>
  </si>
  <si>
    <t>418003_0</t>
  </si>
  <si>
    <t>418004_0</t>
  </si>
  <si>
    <t>418005_0</t>
  </si>
  <si>
    <t>418006_0</t>
  </si>
  <si>
    <t>418007_0</t>
  </si>
  <si>
    <t>418008_0</t>
  </si>
  <si>
    <t>410000_0</t>
  </si>
  <si>
    <t>410001_0</t>
  </si>
  <si>
    <t>410002_0</t>
  </si>
  <si>
    <t>410003_0</t>
  </si>
  <si>
    <t>410004_0</t>
  </si>
  <si>
    <t>410005_0</t>
  </si>
  <si>
    <t>410006_0</t>
  </si>
  <si>
    <t>410007_0</t>
  </si>
  <si>
    <t>continuityToPWR X_PAD37 67174482</t>
  </si>
  <si>
    <t>continuityToPWR X_PAD38 94</t>
  </si>
  <si>
    <t>continuityToPWR X_PAD36 223</t>
  </si>
  <si>
    <t>continuityToPWR X_PAD33 95</t>
  </si>
  <si>
    <t>continuityToPWR X_PAD30 93</t>
  </si>
  <si>
    <t>continuityToPWR X_PAD54 92</t>
  </si>
  <si>
    <t>continuityToPWR X_PAD47 90</t>
  </si>
  <si>
    <t>continuityToPWR X_PAD53 91</t>
  </si>
  <si>
    <t>continuityToPWR X_PAD46 89</t>
  </si>
  <si>
    <t>continuityToPWR X_PAD44 88</t>
  </si>
  <si>
    <t>continuityToPWR X_PAD48 87</t>
  </si>
  <si>
    <t>continuityToPWR X_PAD41 83</t>
  </si>
  <si>
    <t>continuityToPWR X_PAD39 84</t>
  </si>
  <si>
    <t>continuityToPWR X_PAD55 86</t>
  </si>
  <si>
    <t>continuityToPWR X_PAD60 67305566</t>
  </si>
  <si>
    <t>continuityToPWR X_PAD57 218</t>
  </si>
  <si>
    <t>continuityToPWR X_PAD71 67305565</t>
  </si>
  <si>
    <t>continuityToPWR X_PAD67 67174486</t>
  </si>
  <si>
    <t>continuityToPWR X_PAD64 67305567</t>
  </si>
  <si>
    <t>continuityToPWR X_PAD62 67305554</t>
  </si>
  <si>
    <t>continuityToPWR X_PAD73 67174485</t>
  </si>
  <si>
    <t>continuityToPWR X_PAD166 252</t>
  </si>
  <si>
    <t>continuityToPWR X_PAD165 251</t>
  </si>
  <si>
    <t>continuityToPWR X_PAD163 250</t>
  </si>
  <si>
    <t>continuityToPWR X_PAD160 249</t>
  </si>
  <si>
    <t>continuityToPWR X_PAD157 126</t>
  </si>
  <si>
    <t>continuityToPWR X_PAD159 67174514</t>
  </si>
  <si>
    <t>continuityToPWR X_PAD153 123</t>
  </si>
  <si>
    <t>continuityToPWR X_PAD151 122</t>
  </si>
  <si>
    <t>continuityToPWR X_PAD130 67174517</t>
  </si>
  <si>
    <t>continuityToPWR X_PAD131 67174519</t>
  </si>
  <si>
    <t>continuityToPWR X_PAD133 119</t>
  </si>
  <si>
    <t>continuityToPWR X_PAD136 117</t>
  </si>
  <si>
    <t>continuityToPWR X_PAD138 67174523</t>
  </si>
  <si>
    <t>continuityToPWR X_PAD140 116</t>
  </si>
  <si>
    <t>continuityToPWR X_PAD142 115</t>
  </si>
  <si>
    <t>continuityToPWR X_PAD123 67174526</t>
  </si>
  <si>
    <t>continuityToPWR X_PAD124 67174525</t>
  </si>
  <si>
    <t>continuityToPWR X_PAD137 248</t>
  </si>
  <si>
    <t>continuityToPWR X_PAD141 247</t>
  </si>
  <si>
    <t>continuityToPWR X_ESR0 67305594</t>
  </si>
  <si>
    <t>continuityToPWR X_PAD122 244</t>
  </si>
  <si>
    <t>continuityToPWR X_PAD121 243</t>
  </si>
  <si>
    <t>continuityToPWR X_PAD169 254</t>
  </si>
  <si>
    <t>continuityToPWR X_PAD171 253</t>
  </si>
  <si>
    <t>continuityToPWR X_PAD172 255</t>
  </si>
  <si>
    <t>continuityToPWR X_PAD175 236</t>
  </si>
  <si>
    <t>continuityToPWR X_PAD176 237</t>
  </si>
  <si>
    <t>continuityToPWR X_PAD177 234</t>
  </si>
  <si>
    <t>continuityToPWR X_PAD183 233</t>
  </si>
  <si>
    <t>continuityToPWR X_PAD185 231</t>
  </si>
  <si>
    <t>continuityToPWR X_PAD179 232</t>
  </si>
  <si>
    <t>continuityToPWR X_PAD187 230</t>
  </si>
  <si>
    <t>continuityToPWR X_PAD188 228</t>
  </si>
  <si>
    <t>continuityToPWR X_PAD192 67305580</t>
  </si>
  <si>
    <t>continuityToPWR X_PAD190 67305579</t>
  </si>
  <si>
    <t>continuityToPWR X_PAD194 67305581</t>
  </si>
  <si>
    <t>continuityToPWR X_PAD196 67305582</t>
  </si>
  <si>
    <t>continuityToPWR X_SPLIT_SEL 127</t>
  </si>
  <si>
    <t>continuityToPWR X_PAD12 67174499</t>
  </si>
  <si>
    <t>continuityToPWR X_PAD10 67174500</t>
  </si>
  <si>
    <t>continuityToPWR X_PAD8 67174501</t>
  </si>
  <si>
    <t>continuityToPWR X_PAD4 67174502</t>
  </si>
  <si>
    <t>continuityToPWR X_PAD17 67174504</t>
  </si>
  <si>
    <t>continuityToPWR X_PAD5 67305583</t>
  </si>
  <si>
    <t>continuityToPWR X_PAD0 103</t>
  </si>
  <si>
    <t>continuityToPWR X_PAD16 100</t>
  </si>
  <si>
    <t>continuityToPWR X_PAD15 102</t>
  </si>
  <si>
    <t>continuityToPWR X_PAD23 99</t>
  </si>
  <si>
    <t>continuityToPWR X_PAD22 96</t>
  </si>
  <si>
    <t>continuityToPWR X_PAD25 97</t>
  </si>
  <si>
    <t>continuityToPWR X_PAD21 98</t>
  </si>
  <si>
    <t>continuityToPWR X_PAD19 67174512</t>
  </si>
  <si>
    <t>continuityToPWR X_PAD27 67174513</t>
  </si>
  <si>
    <t>continuityToPWR X_PAD105 67174470</t>
  </si>
  <si>
    <t>continuityToPWR X_PAD120 67174467</t>
  </si>
  <si>
    <t>continuityToPWR X_PAD115 67174475</t>
  </si>
  <si>
    <t>continuityToPWR X_PAD116 67174466</t>
  </si>
  <si>
    <t>continuityToPWR X_PAD114 67174464</t>
  </si>
  <si>
    <t>continuityToPWR X_PAD118 67174469</t>
  </si>
  <si>
    <t>continuityToPWR X_XTALO 70</t>
  </si>
  <si>
    <t>continuityToPWR X_PAD110 69</t>
  </si>
  <si>
    <t>continuityToPWR X_JTAG_TRST 67305552</t>
  </si>
  <si>
    <t>continuityToPWR X_PAD111 68</t>
  </si>
  <si>
    <t>continuityToPWR X_JTAG_TMS 67305553</t>
  </si>
  <si>
    <t>continuityToPWR X_PAD83 67174471</t>
  </si>
  <si>
    <t>continuityToPWR X_PAD94 67305556</t>
  </si>
  <si>
    <t>continuityToPWR X_PAD95 67305557</t>
  </si>
  <si>
    <t>continuityToPWR X_PAD98 67305558</t>
  </si>
  <si>
    <t>continuityToPWR X_PAD101 211</t>
  </si>
  <si>
    <t>continuityToPWR X_PAD104 67305559</t>
  </si>
  <si>
    <t>continuityToPWR X_PAD82 67</t>
  </si>
  <si>
    <t>continuityToPWR X_PAD89 66</t>
  </si>
  <si>
    <t>continuityToPWR X_PAD91 65</t>
  </si>
  <si>
    <t>continuityToPWR X_PAD92 67174478</t>
  </si>
  <si>
    <t>continuityToPWR X_PAD88 67174477</t>
  </si>
  <si>
    <t>continuityToPWR X_PAD90 82</t>
  </si>
  <si>
    <t>continuityToPWR X_PAD150 67174498</t>
  </si>
  <si>
    <t>continuityToPWR X_TESTMODE 67174496</t>
  </si>
  <si>
    <t>continuityToPWR X_PAD35 67305561</t>
  </si>
  <si>
    <t>continuityToPWR X_PAD32 67174495</t>
  </si>
  <si>
    <t>continuityToPWR X_PAD34 67174493</t>
  </si>
  <si>
    <t>continuityToPWR X_PAD31 67174494</t>
  </si>
  <si>
    <t>continuityToPWR X_PAD52 67174489</t>
  </si>
  <si>
    <t>continuityToPWR X_PAD50 80</t>
  </si>
  <si>
    <t>continuityToPWR X_PAD51 67174492</t>
  </si>
  <si>
    <t>continuityToPWR X_PAD49 67174490</t>
  </si>
  <si>
    <t>continuityToPWR X_PAD42 67174480</t>
  </si>
  <si>
    <t>continuityToPWR X_PAD40 67174481</t>
  </si>
  <si>
    <t>continuityToPWR X_PAD45 67174484</t>
  </si>
  <si>
    <t>continuityToPWR X_PAD56 67174483</t>
  </si>
  <si>
    <t>continuityToPWR X_PAD43 67174488</t>
  </si>
  <si>
    <t>continuityToPWR X_PAD59 221</t>
  </si>
  <si>
    <t>continuityToPWR X_PAD58 67305564</t>
  </si>
  <si>
    <t>continuityToPWR X_PAD69 85</t>
  </si>
  <si>
    <t>continuityToPWR X_PAD70 222</t>
  </si>
  <si>
    <t>continuityToPWR X_PAD68 67174491</t>
  </si>
  <si>
    <t>continuityToPWR X_PAD77 217</t>
  </si>
  <si>
    <t>continuityToPWR X_PAD76 220</t>
  </si>
  <si>
    <t>continuityToPWR X_PAD75 81</t>
  </si>
  <si>
    <t>continuityToPWR X_PAD168 67305569</t>
  </si>
  <si>
    <t>continuityToPWR X_PAD167 67305586</t>
  </si>
  <si>
    <t>continuityToPWR X_PAD164 67305588</t>
  </si>
  <si>
    <t>continuityToPWR X_PAD162 67305589</t>
  </si>
  <si>
    <t>continuityToPWR X_PAD161 67305591</t>
  </si>
  <si>
    <t>continuityToPWR X_PAD154 67174497</t>
  </si>
  <si>
    <t>continuityToPWR X_PAD156 124</t>
  </si>
  <si>
    <t>continuityToPWR X_PAD158 235</t>
  </si>
  <si>
    <t>continuityToPWR X_PAD152 67174516</t>
  </si>
  <si>
    <t>continuityToPWR X_PAD132 121</t>
  </si>
  <si>
    <t>continuityToPWR X_PAD129 120</t>
  </si>
  <si>
    <t>continuityToPWR X_PAD145 67174520</t>
  </si>
  <si>
    <t>continuityToPWR X_PAD147 67174521</t>
  </si>
  <si>
    <t>continuityToPWR X_PAD146 67174522</t>
  </si>
  <si>
    <t>continuityToPWR X_PAD149 118</t>
  </si>
  <si>
    <t>continuityToPWR X_PAD148 229</t>
  </si>
  <si>
    <t>continuityToPWR X_PAD144 67174527</t>
  </si>
  <si>
    <t>continuityToPWR X_PAD126 114</t>
  </si>
  <si>
    <t>continuityToPWR X_PAD127 113</t>
  </si>
  <si>
    <t>continuityToPWR X_PAD139 67305592</t>
  </si>
  <si>
    <t>continuityToPWR X_CLKSEL 67174524</t>
  </si>
  <si>
    <t>continuityToPWR X_BUCKSEL 111</t>
  </si>
  <si>
    <t>continuityToPWR X_ESR1 245</t>
  </si>
  <si>
    <t>continuityToPWR X_PAD65 67305593</t>
  </si>
  <si>
    <t>continuityToPWR X_PAD63 67305595</t>
  </si>
  <si>
    <t>continuityToPWR X_PAD170 67305568</t>
  </si>
  <si>
    <t>continuityToPWR X_PAD180 67305572</t>
  </si>
  <si>
    <t>continuityToPWR X_PAD174 67305570</t>
  </si>
  <si>
    <t>continuityToPWR X_PAD173 67305574</t>
  </si>
  <si>
    <t>continuityToPWR X_PAD184 67305571</t>
  </si>
  <si>
    <t>continuityToPWR X_PAD181 67305573</t>
  </si>
  <si>
    <t>continuityToPWR X_PAD182 67305576</t>
  </si>
  <si>
    <t>continuityToPWR X_PAD178 67305575</t>
  </si>
  <si>
    <t>continuityToPWR X_PAD186 67305577</t>
  </si>
  <si>
    <t>continuityToPWR X_PAD189 67305578</t>
  </si>
  <si>
    <t>continuityToPWR X_PAD193 227</t>
  </si>
  <si>
    <t>continuityToPWR X_PAD191 224</t>
  </si>
  <si>
    <t>continuityToPWR X_PAD195 225</t>
  </si>
  <si>
    <t>continuityToPWR X_PAD197 226</t>
  </si>
  <si>
    <t>continuityToPWR X_PAD11 109</t>
  </si>
  <si>
    <t>continuityToPWR X_PAD9 108</t>
  </si>
  <si>
    <t>continuityToPWR X_PAD7 106</t>
  </si>
  <si>
    <t>continuityToPWR X_PAD3 105</t>
  </si>
  <si>
    <t>continuityToPWR X_PAD6 104</t>
  </si>
  <si>
    <t>continuityToPWR X_PAD2 67174505</t>
  </si>
  <si>
    <t>continuityToPWR X_PAD26 67174506</t>
  </si>
  <si>
    <t>continuityToPWR X_PAD1 67174503</t>
  </si>
  <si>
    <t>continuityToPWR X_PAD24 67174507</t>
  </si>
  <si>
    <t>continuityToPWR X_PAD13 67174508</t>
  </si>
  <si>
    <t>continuityToPWR X_PAD14 67174509</t>
  </si>
  <si>
    <t>continuityToPWR X_PAD28 67174510</t>
  </si>
  <si>
    <t>continuityToPWR X_PAD29 67174511</t>
  </si>
  <si>
    <t>continuityToPWR X_PAD20 101</t>
  </si>
  <si>
    <t>continuityToPWR X_PAD18 107</t>
  </si>
  <si>
    <t>continuityToPWR X_PAD106 76</t>
  </si>
  <si>
    <t>continuityToPWR X_PAD119 75</t>
  </si>
  <si>
    <t>continuityToPWR X_PAD113 74</t>
  </si>
  <si>
    <t>continuityToPWR X_PAD117 73</t>
  </si>
  <si>
    <t>continuityToPWR X_PAD108 72</t>
  </si>
  <si>
    <t>continuityToPWR X_PAD107 71</t>
  </si>
  <si>
    <t>continuityToPWR X_XTALI 207</t>
  </si>
  <si>
    <t>continuityToPWR X_PAD109 67174465</t>
  </si>
  <si>
    <t>continuityToPWR X_PAD81 210</t>
  </si>
  <si>
    <t>continuityToPWR X_PAD112 67174468</t>
  </si>
  <si>
    <t>continuityToPWR X_JTAG_TCK 212</t>
  </si>
  <si>
    <t>continuityToPWR X_PAD93 209</t>
  </si>
  <si>
    <t>continuityToPWR X_PAD96 215</t>
  </si>
  <si>
    <t>continuityToPWR X_PAD97 213</t>
  </si>
  <si>
    <t>continuityToPWR X_PAD102 67305560</t>
  </si>
  <si>
    <t>continuityToPWR X_PAD103 216</t>
  </si>
  <si>
    <t>continuityToPWR X_PAD100 219</t>
  </si>
  <si>
    <t>continuityToPWR X_PAD86 67174472</t>
  </si>
  <si>
    <t>continuityToPWR X_PAD85 67174474</t>
  </si>
  <si>
    <t>continuityToPWR X_PAD99 67305562</t>
  </si>
  <si>
    <t>continuityToPWR X_PAD84 64</t>
  </si>
  <si>
    <t>continuityToPWR X_PAD72 214</t>
  </si>
  <si>
    <t>continuityToPWR X_PAD87 67174487</t>
  </si>
  <si>
    <t>continuityToPWR X_PAD74 67305563</t>
  </si>
  <si>
    <t>continuityToPWR X_HW_RSTN 125</t>
  </si>
  <si>
    <t>continuityToPWR X_PAD66 246</t>
  </si>
  <si>
    <t>continuityToGND X_PAD37 67174482</t>
  </si>
  <si>
    <t>continuityToGND X_PAD38 94</t>
  </si>
  <si>
    <t>continuityToGND X_PAD36 223</t>
  </si>
  <si>
    <t>continuityToGND X_PAD33 95</t>
  </si>
  <si>
    <t>continuityToGND X_PAD30 93</t>
  </si>
  <si>
    <t>continuityToGND X_PAD54 92</t>
  </si>
  <si>
    <t>continuityToGND X_PAD47 90</t>
  </si>
  <si>
    <t>continuityToGND X_PAD53 91</t>
  </si>
  <si>
    <t>continuityToGND X_PAD46 89</t>
  </si>
  <si>
    <t>continuityToGND X_PAD44 88</t>
  </si>
  <si>
    <t>continuityToGND X_PAD48 87</t>
  </si>
  <si>
    <t>continuityToGND X_PAD41 83</t>
  </si>
  <si>
    <t>continuityToGND X_PAD39 84</t>
  </si>
  <si>
    <t>continuityToGND X_PAD55 86</t>
  </si>
  <si>
    <t>continuityToGND X_PAD60 67305566</t>
  </si>
  <si>
    <t>continuityToGND X_PAD57 218</t>
  </si>
  <si>
    <t>continuityToGND X_PAD71 67305565</t>
  </si>
  <si>
    <t>continuityToGND X_PAD67 67174486</t>
  </si>
  <si>
    <t>continuityToGND X_PAD64 67305567</t>
  </si>
  <si>
    <t>continuityToGND X_PAD62 67305554</t>
  </si>
  <si>
    <t>continuityToGND X_PAD73 67174485</t>
  </si>
  <si>
    <t>continuityToGND X_PAD166 252</t>
  </si>
  <si>
    <t>continuityToGND X_PAD165 251</t>
  </si>
  <si>
    <t>continuityToGND X_PAD163 250</t>
  </si>
  <si>
    <t>continuityToGND X_PAD160 249</t>
  </si>
  <si>
    <t>continuityToGND X_PAD157 126</t>
  </si>
  <si>
    <t>continuityToGND X_PAD159 67174514</t>
  </si>
  <si>
    <t>continuityToGND X_PAD153 123</t>
  </si>
  <si>
    <t>continuityToGND X_PAD151 122</t>
  </si>
  <si>
    <t>continuityToGND X_PAD130 67174517</t>
  </si>
  <si>
    <t>continuityToGND X_PAD131 67174519</t>
  </si>
  <si>
    <t>continuityToGND X_PAD133 119</t>
  </si>
  <si>
    <t>continuityToGND X_PAD136 117</t>
  </si>
  <si>
    <t>continuityToGND X_PAD138 67174523</t>
  </si>
  <si>
    <t>continuityToGND X_PAD140 116</t>
  </si>
  <si>
    <t>continuityToGND X_PAD142 115</t>
  </si>
  <si>
    <t>continuityToGND X_PAD123 67174526</t>
  </si>
  <si>
    <t>continuityToGND X_PAD124 67174525</t>
  </si>
  <si>
    <t>continuityToGND X_PAD137 248</t>
  </si>
  <si>
    <t>continuityToGND X_PAD141 247</t>
  </si>
  <si>
    <t>continuityToGND X_ESR0 67305594</t>
  </si>
  <si>
    <t>continuityToGND X_PAD122 244</t>
  </si>
  <si>
    <t>continuityToGND X_PAD121 243</t>
  </si>
  <si>
    <t>continuityToGND X_PAD169 254</t>
  </si>
  <si>
    <t>continuityToGND X_PAD171 253</t>
  </si>
  <si>
    <t>continuityToGND X_PAD172 255</t>
  </si>
  <si>
    <t>continuityToGND X_PAD175 236</t>
  </si>
  <si>
    <t>continuityToGND X_PAD176 237</t>
  </si>
  <si>
    <t>continuityToGND X_PAD177 234</t>
  </si>
  <si>
    <t>continuityToGND X_PAD183 233</t>
  </si>
  <si>
    <t>continuityToGND X_PAD185 231</t>
  </si>
  <si>
    <t>continuityToGND X_PAD179 232</t>
  </si>
  <si>
    <t>continuityToGND X_PAD187 230</t>
  </si>
  <si>
    <t>continuityToGND X_PAD188 228</t>
  </si>
  <si>
    <t>continuityToGND X_PAD192 67305580</t>
  </si>
  <si>
    <t>continuityToGND X_PAD190 67305579</t>
  </si>
  <si>
    <t>continuityToGND X_PAD194 67305581</t>
  </si>
  <si>
    <t>continuityToGND X_PAD196 67305582</t>
  </si>
  <si>
    <t>continuityToGND X_SPLIT_SEL 127</t>
  </si>
  <si>
    <t>continuityToGND X_PAD12 67174499</t>
  </si>
  <si>
    <t>continuityToGND X_PAD10 67174500</t>
  </si>
  <si>
    <t>continuityToGND X_PAD8 67174501</t>
  </si>
  <si>
    <t>continuityToGND X_PAD4 67174502</t>
  </si>
  <si>
    <t>continuityToGND X_PAD17 67174504</t>
  </si>
  <si>
    <t>continuityToGND X_PAD5 67305583</t>
  </si>
  <si>
    <t>continuityToGND X_PAD0 103</t>
  </si>
  <si>
    <t>continuityToGND X_PAD16 100</t>
  </si>
  <si>
    <t>continuityToGND X_PAD15 102</t>
  </si>
  <si>
    <t>continuityToGND X_PAD23 99</t>
  </si>
  <si>
    <t>continuityToGND X_PAD22 96</t>
  </si>
  <si>
    <t>continuityToGND X_PAD25 97</t>
  </si>
  <si>
    <t>continuityToGND X_PAD21 98</t>
  </si>
  <si>
    <t>continuityToGND X_PAD19 67174512</t>
  </si>
  <si>
    <t>continuityToGND X_PAD27 67174513</t>
  </si>
  <si>
    <t>continuityToGND X_PAD105 67174470</t>
  </si>
  <si>
    <t>continuityToGND X_PAD120 67174467</t>
  </si>
  <si>
    <t>continuityToGND X_PAD115 67174475</t>
  </si>
  <si>
    <t>continuityToGND X_PAD116 67174466</t>
  </si>
  <si>
    <t>continuityToGND X_PAD114 67174464</t>
  </si>
  <si>
    <t>continuityToGND X_PAD118 67174469</t>
  </si>
  <si>
    <t>continuityToGND X_XTALO 70</t>
  </si>
  <si>
    <t>continuityToGND X_PAD110 69</t>
  </si>
  <si>
    <t>continuityToGND X_JTAG_TRST 67305552</t>
  </si>
  <si>
    <t>continuityToGND X_PAD111 68</t>
  </si>
  <si>
    <t>continuityToGND X_JTAG_TMS 67305553</t>
  </si>
  <si>
    <t>continuityToGND X_PAD83 67174471</t>
  </si>
  <si>
    <t>continuityToGND X_PAD94 67305556</t>
  </si>
  <si>
    <t>continuityToGND X_PAD95 67305557</t>
  </si>
  <si>
    <t>continuityToGND X_PAD98 67305558</t>
  </si>
  <si>
    <t>continuityToGND X_PAD101 211</t>
  </si>
  <si>
    <t>continuityToGND X_PAD104 67305559</t>
  </si>
  <si>
    <t>continuityToGND X_PAD82 67</t>
  </si>
  <si>
    <t>continuityToGND X_PAD89 66</t>
  </si>
  <si>
    <t>continuityToGND X_PAD91 65</t>
  </si>
  <si>
    <t>continuityToGND X_PAD92 67174478</t>
  </si>
  <si>
    <t>continuityToGND X_PAD88 67174477</t>
  </si>
  <si>
    <t>continuityToGND X_PAD90 82</t>
  </si>
  <si>
    <t>continuityToGND X_PAD150 67174498</t>
  </si>
  <si>
    <t>continuityToGND X_TESTMODE 67174496</t>
  </si>
  <si>
    <t>continuityToGND X_PAD35 67305561</t>
  </si>
  <si>
    <t>continuityToGND X_PAD32 67174495</t>
  </si>
  <si>
    <t>continuityToGND X_PAD34 67174493</t>
  </si>
  <si>
    <t>continuityToGND X_PAD31 67174494</t>
  </si>
  <si>
    <t>continuityToGND X_PAD52 67174489</t>
  </si>
  <si>
    <t>continuityToGND X_PAD50 80</t>
  </si>
  <si>
    <t>continuityToGND X_PAD51 67174492</t>
  </si>
  <si>
    <t>continuityToGND X_PAD49 67174490</t>
  </si>
  <si>
    <t>continuityToGND X_PAD42 67174480</t>
  </si>
  <si>
    <t>continuityToGND X_PAD40 67174481</t>
  </si>
  <si>
    <t>continuityToGND X_PAD45 67174484</t>
  </si>
  <si>
    <t>continuityToGND X_PAD56 67174483</t>
  </si>
  <si>
    <t>continuityToGND X_PAD43 67174488</t>
  </si>
  <si>
    <t>continuityToGND X_PAD59 221</t>
  </si>
  <si>
    <t>continuityToGND X_PAD58 67305564</t>
  </si>
  <si>
    <t>continuityToGND X_PAD69 85</t>
  </si>
  <si>
    <t>continuityToGND X_PAD70 222</t>
  </si>
  <si>
    <t>continuityToGND X_PAD68 67174491</t>
  </si>
  <si>
    <t>continuityToGND X_PAD77 217</t>
  </si>
  <si>
    <t>continuityToGND X_PAD76 220</t>
  </si>
  <si>
    <t>continuityToGND X_PAD75 81</t>
  </si>
  <si>
    <t>continuityToGND X_PAD168 67305569</t>
  </si>
  <si>
    <t>continuityToGND X_PAD167 67305586</t>
  </si>
  <si>
    <t>continuityToGND X_PAD164 67305588</t>
  </si>
  <si>
    <t>continuityToGND X_PAD162 67305589</t>
  </si>
  <si>
    <t>continuityToGND X_PAD161 67305591</t>
  </si>
  <si>
    <t>continuityToGND X_PAD154 67174497</t>
  </si>
  <si>
    <t>continuityToGND X_PAD156 124</t>
  </si>
  <si>
    <t>continuityToGND X_PAD158 235</t>
  </si>
  <si>
    <t>continuityToGND X_PAD152 67174516</t>
  </si>
  <si>
    <t>continuityToGND X_PAD132 121</t>
  </si>
  <si>
    <t>continuityToGND X_PAD129 120</t>
  </si>
  <si>
    <t>continuityToGND X_PAD145 67174520</t>
  </si>
  <si>
    <t>continuityToGND X_PAD147 67174521</t>
  </si>
  <si>
    <t>continuityToGND X_PAD146 67174522</t>
  </si>
  <si>
    <t>continuityToGND X_PAD149 118</t>
  </si>
  <si>
    <t>continuityToGND X_PAD148 229</t>
  </si>
  <si>
    <t>continuityToGND X_PAD144 67174527</t>
  </si>
  <si>
    <t>continuityToGND X_PAD126 114</t>
  </si>
  <si>
    <t>continuityToGND X_PAD127 113</t>
  </si>
  <si>
    <t>continuityToGND X_PAD139 67305592</t>
  </si>
  <si>
    <t>continuityToGND X_CLKSEL 67174524</t>
  </si>
  <si>
    <t>continuityToGND X_BUCKSEL 111</t>
  </si>
  <si>
    <t>continuityToGND X_ESR1 245</t>
  </si>
  <si>
    <t>continuityToGND X_PAD65 67305593</t>
  </si>
  <si>
    <t>continuityToGND X_PAD63 67305595</t>
  </si>
  <si>
    <t>continuityToGND X_PAD170 67305568</t>
  </si>
  <si>
    <t>continuityToGND X_PAD180 67305572</t>
  </si>
  <si>
    <t>continuityToGND X_PAD174 67305570</t>
  </si>
  <si>
    <t>continuityToGND X_PAD173 67305574</t>
  </si>
  <si>
    <t>continuityToGND X_PAD184 67305571</t>
  </si>
  <si>
    <t>continuityToGND X_PAD181 67305573</t>
  </si>
  <si>
    <t>continuityToGND X_PAD182 67305576</t>
  </si>
  <si>
    <t>continuityToGND X_PAD178 67305575</t>
  </si>
  <si>
    <t>continuityToGND X_PAD186 67305577</t>
  </si>
  <si>
    <t>continuityToGND X_PAD189 67305578</t>
  </si>
  <si>
    <t>continuityToGND X_PAD193 227</t>
  </si>
  <si>
    <t>continuityToGND X_PAD191 224</t>
  </si>
  <si>
    <t>continuityToGND X_PAD195 225</t>
  </si>
  <si>
    <t>continuityToGND X_PAD197 226</t>
  </si>
  <si>
    <t>continuityToGND X_PAD11 109</t>
  </si>
  <si>
    <t>continuityToGND X_PAD9 108</t>
  </si>
  <si>
    <t>continuityToGND X_PAD7 106</t>
  </si>
  <si>
    <t>continuityToGND X_PAD3 105</t>
  </si>
  <si>
    <t>continuityToGND X_PAD6 104</t>
  </si>
  <si>
    <t>continuityToGND X_PAD2 67174505</t>
  </si>
  <si>
    <t>continuityToGND X_PAD26 67174506</t>
  </si>
  <si>
    <t>continuityToGND X_PAD1 67174503</t>
  </si>
  <si>
    <t>continuityToGND X_PAD24 67174507</t>
  </si>
  <si>
    <t>continuityToGND X_PAD13 67174508</t>
  </si>
  <si>
    <t>continuityToGND X_PAD14 67174509</t>
  </si>
  <si>
    <t>continuityToGND X_PAD28 67174510</t>
  </si>
  <si>
    <t>continuityToGND X_PAD29 67174511</t>
  </si>
  <si>
    <t>continuityToGND X_PAD20 101</t>
  </si>
  <si>
    <t>continuityToGND X_PAD18 107</t>
  </si>
  <si>
    <t>continuityToGND X_PAD106 76</t>
  </si>
  <si>
    <t>continuityToGND X_PAD119 75</t>
  </si>
  <si>
    <t>continuityToGND X_PAD113 74</t>
  </si>
  <si>
    <t>continuityToGND X_PAD117 73</t>
  </si>
  <si>
    <t>continuityToGND X_PAD108 72</t>
  </si>
  <si>
    <t>continuityToGND X_PAD107 71</t>
  </si>
  <si>
    <t>continuityToGND X_XTALI 207</t>
  </si>
  <si>
    <t>continuityToGND X_PAD109 67174465</t>
  </si>
  <si>
    <t>continuityToGND X_PAD81 210</t>
  </si>
  <si>
    <t>continuityToGND X_PAD112 67174468</t>
  </si>
  <si>
    <t>continuityToGND X_JTAG_TCK 212</t>
  </si>
  <si>
    <t>continuityToGND X_PAD93 209</t>
  </si>
  <si>
    <t>continuityToGND X_PAD96 215</t>
  </si>
  <si>
    <t>continuityToGND X_PAD97 213</t>
  </si>
  <si>
    <t>continuityToGND X_PAD102 67305560</t>
  </si>
  <si>
    <t>continuityToGND X_PAD103 216</t>
  </si>
  <si>
    <t>continuityToGND X_PAD100 219</t>
  </si>
  <si>
    <t>continuityToGND X_PAD86 67174472</t>
  </si>
  <si>
    <t>continuityToGND X_PAD85 67174474</t>
  </si>
  <si>
    <t>continuityToGND X_PAD99 67305562</t>
  </si>
  <si>
    <t>continuityToGND X_PAD84 64</t>
  </si>
  <si>
    <t>continuityToGND X_PAD72 214</t>
  </si>
  <si>
    <t>continuityToGND X_PAD87 67174487</t>
  </si>
  <si>
    <t>continuityToGND X_PAD74 67305563</t>
  </si>
  <si>
    <t>continuityToGND X_HW_RSTN 125</t>
  </si>
  <si>
    <t>continuityToGND X_PAD66 246</t>
  </si>
  <si>
    <t>DFT_CHIP_STUCK</t>
  </si>
  <si>
    <t>DFT_CHIP_TRANS.0</t>
  </si>
  <si>
    <t>DFT_CHIP_TRANS.1</t>
  </si>
  <si>
    <t>DFT_RETARGETING1_STUCK</t>
  </si>
  <si>
    <t>DFT_RETARGETING1_TRANS.0</t>
  </si>
  <si>
    <t>DFT_RETARGETING1_TRANS.1</t>
  </si>
  <si>
    <t>DFT_RETARGETING1_TRANS.2</t>
  </si>
  <si>
    <t>DFT_RETARGETING1_TRANS.3</t>
  </si>
  <si>
    <t>DFT_RETARGETING2_STUCK</t>
  </si>
  <si>
    <t>DFT_RETARGETING2_TRANS</t>
  </si>
  <si>
    <t>DFT_ICLNETWORK</t>
  </si>
  <si>
    <t>DFT_JtagBscan</t>
  </si>
  <si>
    <t>DFT_MBIST</t>
  </si>
  <si>
    <t>DFT_LBIST</t>
  </si>
  <si>
    <t>11_12</t>
  </si>
  <si>
    <t xml:space="preserve">	10-14</t>
  </si>
  <si>
    <t xml:space="preserve">	411.0718-411.5295</t>
  </si>
  <si>
    <t xml:space="preserve">	406.9519-407.1808</t>
  </si>
  <si>
    <t xml:space="preserve">	408.3252-408.783</t>
  </si>
  <si>
    <t xml:space="preserve">	407.4097-406.2653</t>
  </si>
  <si>
    <t xml:space="preserve">	405.8075-406.0364</t>
  </si>
  <si>
    <t xml:space="preserve">	406.723-405.8075</t>
  </si>
  <si>
    <t xml:space="preserve">	407.6385-406.9519</t>
  </si>
  <si>
    <t xml:space="preserve">	408.0963-407.8674</t>
  </si>
  <si>
    <t xml:space="preserve">	408.783-408.5541</t>
  </si>
  <si>
    <t xml:space="preserve">	406.0364-405.3497</t>
  </si>
  <si>
    <t xml:space="preserve">	403.2898-403.5187</t>
  </si>
  <si>
    <t xml:space="preserve">	401.9165-402.3743</t>
  </si>
  <si>
    <t xml:space="preserve">	401.001-400.7721</t>
  </si>
  <si>
    <t xml:space="preserve">	403.9764-403.7476</t>
  </si>
  <si>
    <t xml:space="preserve">	403.0609-403.9764</t>
  </si>
  <si>
    <t xml:space="preserve">	404.2053-404.892</t>
  </si>
  <si>
    <t xml:space="preserve">	403.7476-403.0609</t>
  </si>
  <si>
    <t xml:space="preserve">	404.6631-405.5786</t>
  </si>
  <si>
    <t xml:space="preserve">	558.4717-557.5562</t>
  </si>
  <si>
    <t xml:space="preserve">	605.3925-603.7903</t>
  </si>
  <si>
    <t xml:space="preserve">	604.9347-604.4769</t>
  </si>
  <si>
    <t xml:space="preserve">	614.09-613.4033</t>
  </si>
  <si>
    <t xml:space="preserve">	412.2162-413.1317</t>
  </si>
  <si>
    <t xml:space="preserve">	411.7584-411.9873</t>
  </si>
  <si>
    <t xml:space="preserve">	410.3851-409.9274</t>
  </si>
  <si>
    <t xml:space="preserve">	412.674-412.2162</t>
  </si>
  <si>
    <t xml:space="preserve">	404.6631-404.2053</t>
  </si>
  <si>
    <t xml:space="preserve">	400.7721-400.5432</t>
  </si>
  <si>
    <t xml:space="preserve">	400.5432-400.7721</t>
  </si>
  <si>
    <t xml:space="preserve">	402.3743-402.6031</t>
  </si>
  <si>
    <t xml:space="preserve">	401.6876-401.2299</t>
  </si>
  <si>
    <t xml:space="preserve">	402.1454-401.9165</t>
  </si>
  <si>
    <t xml:space="preserve">	400.7721-400.0854</t>
  </si>
  <si>
    <t xml:space="preserve">	403.0609-402.6031</t>
  </si>
  <si>
    <t xml:space="preserve">	405.1208-403.2898</t>
  </si>
  <si>
    <t xml:space="preserve">	405.3497-403.0609</t>
  </si>
  <si>
    <t xml:space="preserve">	345.3827-345.6116</t>
  </si>
  <si>
    <t xml:space="preserve">	363.4644-363.0066</t>
  </si>
  <si>
    <t xml:space="preserve">	607.6813-606.7657</t>
  </si>
  <si>
    <t xml:space="preserve">	615.2344-614.7766</t>
  </si>
  <si>
    <t xml:space="preserve">	401.4587-401.2299</t>
  </si>
  <si>
    <t xml:space="preserve">	402.832-401.9165</t>
  </si>
  <si>
    <t xml:space="preserve">	401.2299-401.001</t>
  </si>
  <si>
    <t xml:space="preserve">	401.001-400.0854</t>
  </si>
  <si>
    <t xml:space="preserve">	616.6077-617.0654</t>
  </si>
  <si>
    <t xml:space="preserve">	615.6921-615.921</t>
  </si>
  <si>
    <t xml:space="preserve">	607.2235-607.4524</t>
  </si>
  <si>
    <t xml:space="preserve">	606.9946-606.5369</t>
  </si>
  <si>
    <t xml:space="preserve">	397.11-397.5677</t>
  </si>
  <si>
    <t xml:space="preserve">	398.4833-399.3988</t>
  </si>
  <si>
    <t xml:space="preserve">	401.2299-401.4587</t>
  </si>
  <si>
    <t xml:space="preserve">	403.0609-401.001</t>
  </si>
  <si>
    <t xml:space="preserve">	402.6031-403.9764</t>
  </si>
  <si>
    <t xml:space="preserve">	401.9165-403.0609</t>
  </si>
  <si>
    <t xml:space="preserve">	406.2653-405.5786</t>
  </si>
  <si>
    <t xml:space="preserve">	403.5187-403.0609</t>
  </si>
  <si>
    <t xml:space="preserve">	409.4696-410.1563</t>
  </si>
  <si>
    <t xml:space="preserve">	412.2162-412.674</t>
  </si>
  <si>
    <t xml:space="preserve">	410.614-410.8429</t>
  </si>
  <si>
    <t xml:space="preserve">	412.2162-411.9873</t>
  </si>
  <si>
    <t xml:space="preserve">	412.674-413.1317</t>
  </si>
  <si>
    <t xml:space="preserve">	409.0118-409.2407</t>
  </si>
  <si>
    <t xml:space="preserve">	407.4097-407.6385</t>
  </si>
  <si>
    <t xml:space="preserve">	404.2053-403.2898</t>
  </si>
  <si>
    <t xml:space="preserve">	408.3252-407.8674</t>
  </si>
  <si>
    <t xml:space="preserve">	413.3606-412.2162</t>
  </si>
  <si>
    <t xml:space="preserve">	405.5786-405.3497</t>
  </si>
  <si>
    <t xml:space="preserve">	412.9028-413.5895</t>
  </si>
  <si>
    <t xml:space="preserve">	402.832-401.6876</t>
  </si>
  <si>
    <t xml:space="preserve">	407.8674-408.0963</t>
  </si>
  <si>
    <t xml:space="preserve">	405.8075-406.4941</t>
  </si>
  <si>
    <t xml:space="preserve">	403.2898-403.7476</t>
  </si>
  <si>
    <t xml:space="preserve">	398.941-398.2544</t>
  </si>
  <si>
    <t xml:space="preserve">	406.9519-407.4097</t>
  </si>
  <si>
    <t xml:space="preserve">	407.8674-408.5541</t>
  </si>
  <si>
    <t xml:space="preserve">	405.1208-405.5786</t>
  </si>
  <si>
    <t xml:space="preserve">	404.892-405.3497</t>
  </si>
  <si>
    <t xml:space="preserve">	408.783-409.4696</t>
  </si>
  <si>
    <t xml:space="preserve">	409.4696-409.2407</t>
  </si>
  <si>
    <t xml:space="preserve">	406.0364-405.5786</t>
  </si>
  <si>
    <t xml:space="preserve">	406.2653-406.0364</t>
  </si>
  <si>
    <t xml:space="preserve">	405.1208-404.6631</t>
  </si>
  <si>
    <t xml:space="preserve">	402.832-402.3743</t>
  </si>
  <si>
    <t xml:space="preserve">	401.4587-403.0609</t>
  </si>
  <si>
    <t xml:space="preserve">	398.0255-399.6277</t>
  </si>
  <si>
    <t xml:space="preserve">	398.2544-398.0255</t>
  </si>
  <si>
    <t xml:space="preserve">	403.7476-404.2053</t>
  </si>
  <si>
    <t xml:space="preserve">	403.9764-404.2053</t>
  </si>
  <si>
    <t xml:space="preserve">	400.7721-401.6876</t>
  </si>
  <si>
    <t xml:space="preserve">	407.8674-407.6385</t>
  </si>
  <si>
    <t xml:space="preserve">	409.9274-410.614</t>
  </si>
  <si>
    <t xml:space="preserve">	400.7721-399.8566</t>
  </si>
  <si>
    <t xml:space="preserve">	603.5614-602.1881</t>
  </si>
  <si>
    <t xml:space="preserve">	612.03-609.9701</t>
  </si>
  <si>
    <t xml:space="preserve">	411.9873-412.674</t>
  </si>
  <si>
    <t xml:space="preserve">	412.4451-412.674</t>
  </si>
  <si>
    <t xml:space="preserve">	413.8184-413.3606</t>
  </si>
  <si>
    <t xml:space="preserve">	410.1563-409.6985</t>
  </si>
  <si>
    <t xml:space="preserve">	404.2053-404.6631</t>
  </si>
  <si>
    <t xml:space="preserve">	402.1454-401.4587</t>
  </si>
  <si>
    <t xml:space="preserve">	400.3143-400.0854</t>
  </si>
  <si>
    <t xml:space="preserve">	403.2898-403.0609</t>
  </si>
  <si>
    <t xml:space="preserve">	403.7476-403.5187</t>
  </si>
  <si>
    <t xml:space="preserve">	404.6631-401.6876</t>
  </si>
  <si>
    <t xml:space="preserve">	399.8566-398.4833</t>
  </si>
  <si>
    <t xml:space="preserve">	399.1699-397.11</t>
  </si>
  <si>
    <t xml:space="preserve">	406.2653-405.8075</t>
  </si>
  <si>
    <t xml:space="preserve">	402.832-401.001</t>
  </si>
  <si>
    <t xml:space="preserve">	332.1075-331.6498</t>
  </si>
  <si>
    <t xml:space="preserve">	606.5369-606.308</t>
  </si>
  <si>
    <t xml:space="preserve">	613.6322-613.4033</t>
  </si>
  <si>
    <t xml:space="preserve">	400.3143-399.6277</t>
  </si>
  <si>
    <t xml:space="preserve">	613.6322-612.2589</t>
  </si>
  <si>
    <t xml:space="preserve">	612.4878-611.8011</t>
  </si>
  <si>
    <t xml:space="preserve">	616.3788-615.6921</t>
  </si>
  <si>
    <t xml:space="preserve">	402.6031-402.832</t>
  </si>
  <si>
    <t xml:space="preserve">	403.5187-402.1454</t>
  </si>
  <si>
    <t xml:space="preserve">	401.6876-400.5432</t>
  </si>
  <si>
    <t xml:space="preserve">	401.9165-401.6876</t>
  </si>
  <si>
    <t xml:space="preserve">	617.5232-616.8365</t>
  </si>
  <si>
    <t xml:space="preserve">	618.2098-617.5232</t>
  </si>
  <si>
    <t xml:space="preserve">	609.7412-609.0546</t>
  </si>
  <si>
    <t xml:space="preserve">	599.4415-599.2126</t>
  </si>
  <si>
    <t xml:space="preserve">	402.1454-402.832</t>
  </si>
  <si>
    <t xml:space="preserve">	401.2299-400.7721</t>
  </si>
  <si>
    <t xml:space="preserve">	403.9764-405.1208</t>
  </si>
  <si>
    <t xml:space="preserve">	403.5187-404.2053</t>
  </si>
  <si>
    <t xml:space="preserve">	401.001-401.2299</t>
  </si>
  <si>
    <t xml:space="preserve">	404.6631-404.892</t>
  </si>
  <si>
    <t xml:space="preserve">	402.832-403.2898</t>
  </si>
  <si>
    <t xml:space="preserve">	403.0609-402.832</t>
  </si>
  <si>
    <t xml:space="preserve">	415.4205-413.5895</t>
  </si>
  <si>
    <t xml:space="preserve">	411.9873-412.2162</t>
  </si>
  <si>
    <t xml:space="preserve">	413.5895-414.2761</t>
  </si>
  <si>
    <t xml:space="preserve">	409.0118-409.4696</t>
  </si>
  <si>
    <t xml:space="preserve">	412.674-411.9873</t>
  </si>
  <si>
    <t xml:space="preserve">	464.1724-460.5103</t>
  </si>
  <si>
    <t xml:space="preserve">	413.3606-414.2761</t>
  </si>
  <si>
    <t xml:space="preserve">	412.674-411.5295</t>
  </si>
  <si>
    <t xml:space="preserve">	410.8429-411.7584</t>
  </si>
  <si>
    <t xml:space="preserve">	404.4342-404.6631</t>
  </si>
  <si>
    <t xml:space="preserve">	402.3743-402.832</t>
  </si>
  <si>
    <t xml:space="preserve">	406.4941-407.4097</t>
  </si>
  <si>
    <t xml:space="preserve">	408.5541-408.783</t>
  </si>
  <si>
    <t xml:space="preserve">	409.4696-408.5541</t>
  </si>
  <si>
    <t xml:space="preserve">	407.6385-408.0963</t>
  </si>
  <si>
    <t xml:space="preserve">	394.3634-393.219</t>
  </si>
  <si>
    <t xml:space="preserve">	404.2053-403.7476</t>
  </si>
  <si>
    <t>11_13</t>
  </si>
  <si>
    <t xml:space="preserve">	14-10</t>
  </si>
  <si>
    <t xml:space="preserve">	404.892-404.4342</t>
  </si>
  <si>
    <t xml:space="preserve">	405.5786-406.2653</t>
  </si>
  <si>
    <t xml:space="preserve">	408.3252-407.4097</t>
  </si>
  <si>
    <t xml:space="preserve">	411.7584-409.9274</t>
  </si>
  <si>
    <t xml:space="preserve">	409.0118-406.723</t>
  </si>
  <si>
    <t xml:space="preserve">	411.9873-410.1563</t>
  </si>
  <si>
    <t xml:space="preserve">	408.0963-406.2653</t>
  </si>
  <si>
    <t xml:space="preserve">	404.892-403.9764</t>
  </si>
  <si>
    <t xml:space="preserve">	401.4587-400.5432</t>
  </si>
  <si>
    <t xml:space="preserve">	407.8674-406.0364</t>
  </si>
  <si>
    <t xml:space="preserve">	405.5786-404.4342</t>
  </si>
  <si>
    <t xml:space="preserve">	403.9764-401.2299</t>
  </si>
  <si>
    <t xml:space="preserve">	401.001-400.5432</t>
  </si>
  <si>
    <t xml:space="preserve">	402.1454-401.6876</t>
  </si>
  <si>
    <t xml:space="preserve">	405.3497-403.5187</t>
  </si>
  <si>
    <t xml:space="preserve">	405.8075-405.5786</t>
  </si>
  <si>
    <t xml:space="preserve">	410.3851-410.1563</t>
  </si>
  <si>
    <t xml:space="preserve">	558.7006-557.5562</t>
  </si>
  <si>
    <t xml:space="preserve">	605.8502-605.1636</t>
  </si>
  <si>
    <t xml:space="preserve">	604.9347-605.3925</t>
  </si>
  <si>
    <t xml:space="preserve">	614.5477-613.4033</t>
  </si>
  <si>
    <t xml:space="preserve">	416.5649-416.1072</t>
  </si>
  <si>
    <t xml:space="preserve">	415.1917-414.0472</t>
  </si>
  <si>
    <t xml:space="preserve">	412.4451-411.9873</t>
  </si>
  <si>
    <t xml:space="preserve">	411.9873-411.3007</t>
  </si>
  <si>
    <t xml:space="preserve">	405.3497-404.2053</t>
  </si>
  <si>
    <t xml:space="preserve">	404.4342-403.5187</t>
  </si>
  <si>
    <t xml:space="preserve">	406.0364-404.6631</t>
  </si>
  <si>
    <t xml:space="preserve">	404.6631-403.9764</t>
  </si>
  <si>
    <t xml:space="preserve">	404.2053-403.0609</t>
  </si>
  <si>
    <t xml:space="preserve">	404.4342-402.1454</t>
  </si>
  <si>
    <t xml:space="preserve">	403.0609-401.9165</t>
  </si>
  <si>
    <t xml:space="preserve">	403.9764-402.1454</t>
  </si>
  <si>
    <t xml:space="preserve">	405.1208-401.9165</t>
  </si>
  <si>
    <t xml:space="preserve">	406.4941-403.5187</t>
  </si>
  <si>
    <t xml:space="preserve">	348.587-346.0693</t>
  </si>
  <si>
    <t xml:space="preserve">	365.5243-361.6333</t>
  </si>
  <si>
    <t xml:space="preserve">	401.4587-401.001</t>
  </si>
  <si>
    <t xml:space="preserve">	607.9102-606.7657</t>
  </si>
  <si>
    <t xml:space="preserve">	399.8566-399.6277</t>
  </si>
  <si>
    <t xml:space="preserve">	401.9165-400.5432</t>
  </si>
  <si>
    <t xml:space="preserve">	612.2589-610.4279</t>
  </si>
  <si>
    <t xml:space="preserve">	401.001-400.3143</t>
  </si>
  <si>
    <t xml:space="preserve">	399.8566-398.7122</t>
  </si>
  <si>
    <t xml:space="preserve">	399.8566-399.3988</t>
  </si>
  <si>
    <t xml:space="preserve">	616.1499-615.921</t>
  </si>
  <si>
    <t xml:space="preserve">	617.5232-615.2344</t>
  </si>
  <si>
    <t xml:space="preserve">	608.139-606.5369</t>
  </si>
  <si>
    <t xml:space="preserve">	396.8811-396.4233</t>
  </si>
  <si>
    <t xml:space="preserve">	401.001-399.1699</t>
  </si>
  <si>
    <t xml:space="preserve">	400.0854-399.1699</t>
  </si>
  <si>
    <t xml:space="preserve">	400.3143-400.5432</t>
  </si>
  <si>
    <t xml:space="preserve">	399.6277-399.3988</t>
  </si>
  <si>
    <t xml:space="preserve">	400.3143-399.3988</t>
  </si>
  <si>
    <t xml:space="preserve">	400.5432-401.4587</t>
  </si>
  <si>
    <t xml:space="preserve">	401.9165-400.3143</t>
  </si>
  <si>
    <t xml:space="preserve">	399.6277-398.7122</t>
  </si>
  <si>
    <t xml:space="preserve">	399.3988-398.4833</t>
  </si>
  <si>
    <t xml:space="preserve">	401.9165-400.7721</t>
  </si>
  <si>
    <t xml:space="preserve">	413.5895-413.3606</t>
  </si>
  <si>
    <t xml:space="preserve">	412.4451-412.2162</t>
  </si>
  <si>
    <t xml:space="preserve">	414.505-414.2761</t>
  </si>
  <si>
    <t xml:space="preserve">	403.2898-402.832</t>
  </si>
  <si>
    <t xml:space="preserve">	413.8184-412.674</t>
  </si>
  <si>
    <t xml:space="preserve">	410.614-411.5295</t>
  </si>
  <si>
    <t xml:space="preserve">	410.1563-409.0118</t>
  </si>
  <si>
    <t xml:space="preserve">	413.3606-413.1317</t>
  </si>
  <si>
    <t xml:space="preserve">	405.8075-404.892</t>
  </si>
  <si>
    <t xml:space="preserve">	407.4097-407.8674</t>
  </si>
  <si>
    <t xml:space="preserve">	408.783-408.3252</t>
  </si>
  <si>
    <t xml:space="preserve">	411.5295-411.3007</t>
  </si>
  <si>
    <t xml:space="preserve">	409.6985-409.9274</t>
  </si>
  <si>
    <t xml:space="preserve">	405.5786-406.0364</t>
  </si>
  <si>
    <t xml:space="preserve">	409.4696-408.783</t>
  </si>
  <si>
    <t xml:space="preserve">	410.8429-408.5541</t>
  </si>
  <si>
    <t xml:space="preserve">	410.8429-408.783</t>
  </si>
  <si>
    <t xml:space="preserve">	399.6277-398.2544</t>
  </si>
  <si>
    <t xml:space="preserve">	403.9764-403.5187</t>
  </si>
  <si>
    <t xml:space="preserve">	409.9274-409.6985</t>
  </si>
  <si>
    <t xml:space="preserve">	413.1317-412.9028</t>
  </si>
  <si>
    <t xml:space="preserve">	411.5295-410.8429</t>
  </si>
  <si>
    <t xml:space="preserve">	409.6985-408.783</t>
  </si>
  <si>
    <t xml:space="preserve">	405.3497-403.9764</t>
  </si>
  <si>
    <t xml:space="preserve">	405.5786-404.2053</t>
  </si>
  <si>
    <t xml:space="preserve">	406.9519-405.5786</t>
  </si>
  <si>
    <t xml:space="preserve">	408.3252-406.723</t>
  </si>
  <si>
    <t xml:space="preserve">	405.3497-403.7476</t>
  </si>
  <si>
    <t xml:space="preserve">	396.4233-397.11</t>
  </si>
  <si>
    <t xml:space="preserve">	404.892-405.1208</t>
  </si>
  <si>
    <t xml:space="preserve">	411.5295-411.7584</t>
  </si>
  <si>
    <t xml:space="preserve">	413.3606-412.674</t>
  </si>
  <si>
    <t xml:space="preserve">	402.3743-401.2299</t>
  </si>
  <si>
    <t xml:space="preserve">	401.001-399.8566</t>
  </si>
  <si>
    <t xml:space="preserve">	604.4769-603.7903</t>
  </si>
  <si>
    <t xml:space="preserve">	604.9347-603.1036</t>
  </si>
  <si>
    <t xml:space="preserve">	612.03-610.8856</t>
  </si>
  <si>
    <t xml:space="preserve">	414.0472-413.5895</t>
  </si>
  <si>
    <t xml:space="preserve">	412.9028-411.7584</t>
  </si>
  <si>
    <t xml:space="preserve">	414.505-414.0472</t>
  </si>
  <si>
    <t xml:space="preserve">	407.4097-406.9519</t>
  </si>
  <si>
    <t xml:space="preserve">	405.1208-403.5187</t>
  </si>
  <si>
    <t xml:space="preserve">	406.4941-405.1208</t>
  </si>
  <si>
    <t xml:space="preserve">	407.4097-406.723</t>
  </si>
  <si>
    <t xml:space="preserve">	403.2898-402.6031</t>
  </si>
  <si>
    <t xml:space="preserve">	405.3497-402.1454</t>
  </si>
  <si>
    <t xml:space="preserve">	401.4587-397.7966</t>
  </si>
  <si>
    <t xml:space="preserve">	400.3143-397.11</t>
  </si>
  <si>
    <t xml:space="preserve">	405.1208-402.832</t>
  </si>
  <si>
    <t xml:space="preserve">	406.723-403.7476</t>
  </si>
  <si>
    <t xml:space="preserve">	407.1808-403.5187</t>
  </si>
  <si>
    <t xml:space="preserve">	333.9386-331.8787</t>
  </si>
  <si>
    <t xml:space="preserve">	357.0557-354.538</t>
  </si>
  <si>
    <t xml:space="preserve">	613.8611-612.9456</t>
  </si>
  <si>
    <t xml:space="preserve">	401.4587-399.1699</t>
  </si>
  <si>
    <t xml:space="preserve">	613.1744-612.4878</t>
  </si>
  <si>
    <t xml:space="preserve">	617.2943-615.0055</t>
  </si>
  <si>
    <t xml:space="preserve">	402.6031-401.9165</t>
  </si>
  <si>
    <t xml:space="preserve">	401.4587-400.3143</t>
  </si>
  <si>
    <t xml:space="preserve">	617.5232-617.2943</t>
  </si>
  <si>
    <t xml:space="preserve">	618.4387-617.0654</t>
  </si>
  <si>
    <t xml:space="preserve">	609.5123-608.8257</t>
  </si>
  <si>
    <t xml:space="preserve">	599.6704-597.3816</t>
  </si>
  <si>
    <t xml:space="preserve">	399.1699-398.7122</t>
  </si>
  <si>
    <t xml:space="preserve">	396.8811-396.6522</t>
  </si>
  <si>
    <t xml:space="preserve">	397.7966-398.2544</t>
  </si>
  <si>
    <t xml:space="preserve">	400.7721-401.001</t>
  </si>
  <si>
    <t xml:space="preserve">	403.5187-403.2898</t>
  </si>
  <si>
    <t xml:space="preserve">	398.7122-399.1699</t>
  </si>
  <si>
    <t xml:space="preserve">	399.6277-397.7966</t>
  </si>
  <si>
    <t xml:space="preserve">	399.3988-398.2544</t>
  </si>
  <si>
    <t xml:space="preserve">	399.1699-398.941</t>
  </si>
  <si>
    <t xml:space="preserve">	400.5432-400.0854</t>
  </si>
  <si>
    <t xml:space="preserve">	414.7339-414.505</t>
  </si>
  <si>
    <t xml:space="preserve">	411.9873-412.4451</t>
  </si>
  <si>
    <t xml:space="preserve">	410.8429-411.0718</t>
  </si>
  <si>
    <t xml:space="preserve">	461.4258-457.5348</t>
  </si>
  <si>
    <t xml:space="preserve">	407.1808-407.8674</t>
  </si>
  <si>
    <t xml:space="preserve">	409.4696-407.8674</t>
  </si>
  <si>
    <t xml:space="preserve">	410.614-411.3007</t>
  </si>
  <si>
    <t xml:space="preserve">	405.3497-405.5786</t>
  </si>
  <si>
    <t xml:space="preserve">	411.0718-410.614</t>
  </si>
  <si>
    <t xml:space="preserve">	411.0718-410.8429</t>
  </si>
  <si>
    <t xml:space="preserve">	409.4696-409.0118</t>
  </si>
  <si>
    <t xml:space="preserve">	408.783-408.0963</t>
  </si>
  <si>
    <t xml:space="preserve">	410.1563-411.0718</t>
  </si>
  <si>
    <t xml:space="preserve">	395.7367-391.8457</t>
  </si>
  <si>
    <t xml:space="preserve">	410.8429-407.1808</t>
  </si>
  <si>
    <t xml:space="preserve">	0-1</t>
  </si>
  <si>
    <t>13_4</t>
  </si>
  <si>
    <t xml:space="preserve">	409.2407-410.614</t>
  </si>
  <si>
    <t xml:space="preserve">	406.0364-407.4097</t>
  </si>
  <si>
    <t xml:space="preserve">	408.5541-407.6385</t>
  </si>
  <si>
    <t xml:space="preserve">	412.2162-408.783</t>
  </si>
  <si>
    <t xml:space="preserve">	415.1917-412.2162</t>
  </si>
  <si>
    <t xml:space="preserve">	410.8429-409.2407</t>
  </si>
  <si>
    <t xml:space="preserve">	413.3606-410.614</t>
  </si>
  <si>
    <t xml:space="preserve">	412.9028-410.614</t>
  </si>
  <si>
    <t xml:space="preserve">	414.2761-410.3851</t>
  </si>
  <si>
    <t xml:space="preserve">	411.0718-408.3252</t>
  </si>
  <si>
    <t xml:space="preserve">	414.2761-411.7584</t>
  </si>
  <si>
    <t xml:space="preserve">	412.4451-409.2407</t>
  </si>
  <si>
    <t xml:space="preserve">	406.4941-406.723</t>
  </si>
  <si>
    <t xml:space="preserve">	411.5295-411.0718</t>
  </si>
  <si>
    <t xml:space="preserve">	408.783-407.8674</t>
  </si>
  <si>
    <t xml:space="preserve">	559.1583-558.4717</t>
  </si>
  <si>
    <t xml:space="preserve">	606.7657-605.3925</t>
  </si>
  <si>
    <t xml:space="preserve">	605.6213-604.9347</t>
  </si>
  <si>
    <t xml:space="preserve">	613.8611-613.6322</t>
  </si>
  <si>
    <t xml:space="preserve">	407.6385-408.5541</t>
  </si>
  <si>
    <t xml:space="preserve">	413.3606-412.9028</t>
  </si>
  <si>
    <t xml:space="preserve">	408.3252-408.5541</t>
  </si>
  <si>
    <t xml:space="preserve">	409.2407-408.3252</t>
  </si>
  <si>
    <t xml:space="preserve">	404.4342-403.9764</t>
  </si>
  <si>
    <t xml:space="preserve">	409.9274-409.2407</t>
  </si>
  <si>
    <t xml:space="preserve">	404.6631-403.7476</t>
  </si>
  <si>
    <t xml:space="preserve">	411.9873-411.0718</t>
  </si>
  <si>
    <t xml:space="preserve">	365.7532-365.0665</t>
  </si>
  <si>
    <t xml:space="preserve">	402.3743-401.6876</t>
  </si>
  <si>
    <t xml:space="preserve">	616.8365-616.3788</t>
  </si>
  <si>
    <t xml:space="preserve">	402.6031-402.1454</t>
  </si>
  <si>
    <t xml:space="preserve">	612.03-611.5723</t>
  </si>
  <si>
    <t xml:space="preserve">	403.7476-402.832</t>
  </si>
  <si>
    <t xml:space="preserve">	616.3788-617.0654</t>
  </si>
  <si>
    <t xml:space="preserve">	617.5232-615.6921</t>
  </si>
  <si>
    <t xml:space="preserve">	608.3679-607.6813</t>
  </si>
  <si>
    <t xml:space="preserve">	608.3679-607.4524</t>
  </si>
  <si>
    <t xml:space="preserve">	400.0854-400.7721</t>
  </si>
  <si>
    <t xml:space="preserve">	406.4941-405.8075</t>
  </si>
  <si>
    <t xml:space="preserve">	406.0364-406.4941</t>
  </si>
  <si>
    <t xml:space="preserve">	408.0963-408.783</t>
  </si>
  <si>
    <t xml:space="preserve">	409.2407-409.4696</t>
  </si>
  <si>
    <t xml:space="preserve">	412.4451-411.7584</t>
  </si>
  <si>
    <t xml:space="preserve">	407.6385-407.8674</t>
  </si>
  <si>
    <t xml:space="preserve">	406.723-406.2653</t>
  </si>
  <si>
    <t xml:space="preserve">	404.2053-403.5187</t>
  </si>
  <si>
    <t xml:space="preserve">	407.1808-406.9519</t>
  </si>
  <si>
    <t xml:space="preserve">	409.0118-408.783</t>
  </si>
  <si>
    <t xml:space="preserve">	442.6575-442.1997</t>
  </si>
  <si>
    <t xml:space="preserve">	398.941-398.0255</t>
  </si>
  <si>
    <t xml:space="preserve">	405.5786-405.8075</t>
  </si>
  <si>
    <t xml:space="preserve">	409.6985-409.4696</t>
  </si>
  <si>
    <t xml:space="preserve">	413.3606-414.0472</t>
  </si>
  <si>
    <t xml:space="preserve">	413.5895-413.1317</t>
  </si>
  <si>
    <t xml:space="preserve">	405.3497-404.892</t>
  </si>
  <si>
    <t xml:space="preserve">	403.9764-403.0609</t>
  </si>
  <si>
    <t xml:space="preserve">	408.5541-409.0118</t>
  </si>
  <si>
    <t xml:space="preserve">	407.1808-406.4941</t>
  </si>
  <si>
    <t xml:space="preserve">	410.8429-411.5295</t>
  </si>
  <si>
    <t xml:space="preserve">	412.9028-410.8429</t>
  </si>
  <si>
    <t xml:space="preserve">	411.3007-411.5295</t>
  </si>
  <si>
    <t xml:space="preserve">	409.0118-408.3252</t>
  </si>
  <si>
    <t xml:space="preserve">	405.8075-406.723</t>
  </si>
  <si>
    <t xml:space="preserve">	406.0364-404.892</t>
  </si>
  <si>
    <t xml:space="preserve">	412.2162-411.5295</t>
  </si>
  <si>
    <t xml:space="preserve">	415.6494-413.5895</t>
  </si>
  <si>
    <t xml:space="preserve">	417.0227-414.0472</t>
  </si>
  <si>
    <t xml:space="preserve">	414.2761-411.9873</t>
  </si>
  <si>
    <t xml:space="preserve">	416.1072-413.1317</t>
  </si>
  <si>
    <t xml:space="preserve">	414.9628-412.2162</t>
  </si>
  <si>
    <t xml:space="preserve">	409.9274-406.4941</t>
  </si>
  <si>
    <t xml:space="preserve">	413.5895-411.7584</t>
  </si>
  <si>
    <t xml:space="preserve">	411.5295-408.3252</t>
  </si>
  <si>
    <t xml:space="preserve">	405.8075-406.2653</t>
  </si>
  <si>
    <t xml:space="preserve">	410.1563-410.8429</t>
  </si>
  <si>
    <t xml:space="preserve">	407.6385-407.1808</t>
  </si>
  <si>
    <t xml:space="preserve">	604.7058-603.7903</t>
  </si>
  <si>
    <t xml:space="preserve">	604.0192-603.5614</t>
  </si>
  <si>
    <t xml:space="preserve">	411.3007-412.2162</t>
  </si>
  <si>
    <t xml:space="preserve">	411.7584-412.2162</t>
  </si>
  <si>
    <t xml:space="preserve">	406.723-406.0364</t>
  </si>
  <si>
    <t xml:space="preserve">	408.3252-408.0963</t>
  </si>
  <si>
    <t xml:space="preserve">	406.2653-406.9519</t>
  </si>
  <si>
    <t xml:space="preserve">	401.9165-401.4587</t>
  </si>
  <si>
    <t xml:space="preserve">	400.5432-400.3143</t>
  </si>
  <si>
    <t xml:space="preserve">	410.614-409.6985</t>
  </si>
  <si>
    <t xml:space="preserve">	407.8674-407.1808</t>
  </si>
  <si>
    <t xml:space="preserve">	334.3964-335.3119</t>
  </si>
  <si>
    <t xml:space="preserve">	356.369-356.8268</t>
  </si>
  <si>
    <t xml:space="preserve">	615.4633-614.09</t>
  </si>
  <si>
    <t xml:space="preserve">	615.2344-613.8611</t>
  </si>
  <si>
    <t xml:space="preserve">	614.09-612.9456</t>
  </si>
  <si>
    <t xml:space="preserve">	617.7521-616.3788</t>
  </si>
  <si>
    <t xml:space="preserve">	402.1454-402.3743</t>
  </si>
  <si>
    <t xml:space="preserve">	404.892-403.7476</t>
  </si>
  <si>
    <t xml:space="preserve">	405.3497-404.6631</t>
  </si>
  <si>
    <t xml:space="preserve">	617.7521-618.4387</t>
  </si>
  <si>
    <t xml:space="preserve">	620.2698-619.1254</t>
  </si>
  <si>
    <t xml:space="preserve">	611.1145-609.9701</t>
  </si>
  <si>
    <t xml:space="preserve">	599.6704-598.7549</t>
  </si>
  <si>
    <t xml:space="preserve">	406.4941-406.9519</t>
  </si>
  <si>
    <t xml:space="preserve">	405.5786-406.9519</t>
  </si>
  <si>
    <t xml:space="preserve">	404.6631-404.4342</t>
  </si>
  <si>
    <t xml:space="preserve">	409.9274-410.3851</t>
  </si>
  <si>
    <t xml:space="preserve">	409.0118-408.5541</t>
  </si>
  <si>
    <t xml:space="preserve">	406.723-406.9519</t>
  </si>
  <si>
    <t xml:space="preserve">	405.5786-406.4941</t>
  </si>
  <si>
    <t xml:space="preserve">	405.5786-405.1208</t>
  </si>
  <si>
    <t xml:space="preserve">	408.783-409.6985</t>
  </si>
  <si>
    <t xml:space="preserve">	402.832-403.0609</t>
  </si>
  <si>
    <t xml:space="preserve">	454.5593-450.6683</t>
  </si>
  <si>
    <t xml:space="preserve">	407.1808-407.4097</t>
  </si>
  <si>
    <t xml:space="preserve">	406.9519-406.0364</t>
  </si>
  <si>
    <t xml:space="preserve">	407.4097-408.783</t>
  </si>
  <si>
    <t xml:space="preserve">	407.4097-407.1808</t>
  </si>
  <si>
    <t xml:space="preserve">	411.0718-411.7584</t>
  </si>
  <si>
    <t xml:space="preserve">	410.3851-411.3007</t>
  </si>
  <si>
    <t xml:space="preserve">	414.7339-413.8184</t>
  </si>
  <si>
    <t xml:space="preserve">	412.674-413.3606</t>
  </si>
  <si>
    <t xml:space="preserve">	409.9274-411.5295</t>
  </si>
  <si>
    <t xml:space="preserve">	395.9656-395.7367</t>
  </si>
  <si>
    <t xml:space="preserve">	408.783-407.1808</t>
  </si>
  <si>
    <t>14_13</t>
  </si>
  <si>
    <t xml:space="preserve">	2-10</t>
  </si>
  <si>
    <t xml:space="preserve">	402.6031-401.2299</t>
  </si>
  <si>
    <t xml:space="preserve">	402.1454-402.6031</t>
  </si>
  <si>
    <t xml:space="preserve">	409.9274-407.1808</t>
  </si>
  <si>
    <t xml:space="preserve">	408.5541-406.2653</t>
  </si>
  <si>
    <t xml:space="preserve">	411.0718-409.2407</t>
  </si>
  <si>
    <t xml:space="preserve">	410.8429-409.0118</t>
  </si>
  <si>
    <t xml:space="preserve">	403.9764-401.6876</t>
  </si>
  <si>
    <t xml:space="preserve">	407.1808-404.4342</t>
  </si>
  <si>
    <t xml:space="preserve">	408.783-406.0364</t>
  </si>
  <si>
    <t xml:space="preserve">	407.8674-406.9519</t>
  </si>
  <si>
    <t xml:space="preserve">	405.8075-405.3497</t>
  </si>
  <si>
    <t xml:space="preserve">	407.1808-407.6385</t>
  </si>
  <si>
    <t xml:space="preserve">	403.7476-402.6031</t>
  </si>
  <si>
    <t xml:space="preserve">	558.2428-556.6406</t>
  </si>
  <si>
    <t xml:space="preserve">	605.6213-604.0192</t>
  </si>
  <si>
    <t xml:space="preserve">	604.9347-604.248</t>
  </si>
  <si>
    <t xml:space="preserve">	613.6322-613.1744</t>
  </si>
  <si>
    <t xml:space="preserve">	413.8184-412.4451</t>
  </si>
  <si>
    <t xml:space="preserve">	414.505-413.3606</t>
  </si>
  <si>
    <t xml:space="preserve">	417.0227-415.8783</t>
  </si>
  <si>
    <t xml:space="preserve">	409.6985-409.2407</t>
  </si>
  <si>
    <t xml:space="preserve">	409.9274-408.783</t>
  </si>
  <si>
    <t xml:space="preserve">	404.892-403.2898</t>
  </si>
  <si>
    <t xml:space="preserve">	406.9519-406.2653</t>
  </si>
  <si>
    <t xml:space="preserve">	412.2162-409.0118</t>
  </si>
  <si>
    <t xml:space="preserve">	408.0963-404.4342</t>
  </si>
  <si>
    <t xml:space="preserve">	409.2407-404.6631</t>
  </si>
  <si>
    <t xml:space="preserve">	347.9004-347.6715</t>
  </si>
  <si>
    <t xml:space="preserve">	365.2954-363.2355</t>
  </si>
  <si>
    <t xml:space="preserve">	403.5187-402.3743</t>
  </si>
  <si>
    <t xml:space="preserve">	607.9102-606.9946</t>
  </si>
  <si>
    <t xml:space="preserve">	614.7766-613.8611</t>
  </si>
  <si>
    <t xml:space="preserve">	403.2898-402.1454</t>
  </si>
  <si>
    <t xml:space="preserve">	403.5187-401.9165</t>
  </si>
  <si>
    <t xml:space="preserve">	402.6031-401.4587</t>
  </si>
  <si>
    <t xml:space="preserve">	611.5723-609.7412</t>
  </si>
  <si>
    <t xml:space="preserve">	401.4587-399.6277</t>
  </si>
  <si>
    <t xml:space="preserve">	401.6876-398.941</t>
  </si>
  <si>
    <t xml:space="preserve">	400.5432-399.6277</t>
  </si>
  <si>
    <t xml:space="preserve">	616.6077-615.0055</t>
  </si>
  <si>
    <t xml:space="preserve">	607.9102-606.5369</t>
  </si>
  <si>
    <t xml:space="preserve">	607.9102-606.308</t>
  </si>
  <si>
    <t xml:space="preserve">	397.7966-396.6522</t>
  </si>
  <si>
    <t xml:space="preserve">	407.1808-406.0364</t>
  </si>
  <si>
    <t xml:space="preserve">	404.892-403.5187</t>
  </si>
  <si>
    <t xml:space="preserve">	402.3743-402.1454</t>
  </si>
  <si>
    <t xml:space="preserve">	398.0255-397.5677</t>
  </si>
  <si>
    <t xml:space="preserve">	407.8674-408.3252</t>
  </si>
  <si>
    <t xml:space="preserve">	409.9274-410.1563</t>
  </si>
  <si>
    <t xml:space="preserve">	410.8429-410.614</t>
  </si>
  <si>
    <t xml:space="preserve">	413.1317-413.3606</t>
  </si>
  <si>
    <t xml:space="preserve">	450.8972-451.1261</t>
  </si>
  <si>
    <t xml:space="preserve">	409.0118-409.6985</t>
  </si>
  <si>
    <t xml:space="preserve">	406.2653-405.3497</t>
  </si>
  <si>
    <t xml:space="preserve">	410.8429-410.3851</t>
  </si>
  <si>
    <t xml:space="preserve">	410.3851-411.0718</t>
  </si>
  <si>
    <t xml:space="preserve">	411.5295-411.9873</t>
  </si>
  <si>
    <t xml:space="preserve">	409.6985-410.1563</t>
  </si>
  <si>
    <t xml:space="preserve">	414.2761-413.8184</t>
  </si>
  <si>
    <t xml:space="preserve">	405.5786-399.8566</t>
  </si>
  <si>
    <t xml:space="preserve">	403.2898-401.9165</t>
  </si>
  <si>
    <t xml:space="preserve">	403.0609-402.1454</t>
  </si>
  <si>
    <t xml:space="preserve">	410.3851-408.783</t>
  </si>
  <si>
    <t xml:space="preserve">	413.1317-411.5295</t>
  </si>
  <si>
    <t xml:space="preserve">	410.3851-408.5541</t>
  </si>
  <si>
    <t xml:space="preserve">	408.5541-406.723</t>
  </si>
  <si>
    <t xml:space="preserve">	412.9028-410.1563</t>
  </si>
  <si>
    <t xml:space="preserve">	409.6985-407.8674</t>
  </si>
  <si>
    <t xml:space="preserve">	408.3252-405.5786</t>
  </si>
  <si>
    <t xml:space="preserve">	410.614-408.783</t>
  </si>
  <si>
    <t xml:space="preserve">	407.8674-405.5786</t>
  </si>
  <si>
    <t xml:space="preserve">	397.7966-396.8811</t>
  </si>
  <si>
    <t xml:space="preserve">	399.3988-399.8566</t>
  </si>
  <si>
    <t xml:space="preserve">	407.6385-406.4941</t>
  </si>
  <si>
    <t xml:space="preserve">	403.2898-401.6876</t>
  </si>
  <si>
    <t xml:space="preserve">	401.4587-400.0854</t>
  </si>
  <si>
    <t xml:space="preserve">	603.7903-602.6459</t>
  </si>
  <si>
    <t xml:space="preserve">	611.3434-609.7412</t>
  </si>
  <si>
    <t xml:space="preserve">	412.9028-411.9873</t>
  </si>
  <si>
    <t xml:space="preserve">	413.3606-411.9873</t>
  </si>
  <si>
    <t xml:space="preserve">	415.4205-414.505</t>
  </si>
  <si>
    <t xml:space="preserve">	413.1317-411.9873</t>
  </si>
  <si>
    <t xml:space="preserve">	411.3007-410.3851</t>
  </si>
  <si>
    <t xml:space="preserve">	409.0118-407.6385</t>
  </si>
  <si>
    <t xml:space="preserve">	408.0963-406.723</t>
  </si>
  <si>
    <t xml:space="preserve">	407.6385-406.0364</t>
  </si>
  <si>
    <t xml:space="preserve">	406.723-405.3497</t>
  </si>
  <si>
    <t xml:space="preserve">	413.3606-406.2653</t>
  </si>
  <si>
    <t xml:space="preserve">	410.1563-399.6277</t>
  </si>
  <si>
    <t xml:space="preserve">	409.6985-399.3988</t>
  </si>
  <si>
    <t xml:space="preserve">	415.1917-408.783</t>
  </si>
  <si>
    <t xml:space="preserve">	410.8429-403.7476</t>
  </si>
  <si>
    <t xml:space="preserve">	414.0472-406.9519</t>
  </si>
  <si>
    <t xml:space="preserve">	333.7097-333.0231</t>
  </si>
  <si>
    <t xml:space="preserve">	356.8268-354.7668</t>
  </si>
  <si>
    <t xml:space="preserve">	613.4033-612.4878</t>
  </si>
  <si>
    <t xml:space="preserve">	612.7167-611.1145</t>
  </si>
  <si>
    <t xml:space="preserve">	613.4033-612.03</t>
  </si>
  <si>
    <t xml:space="preserve">	617.2943-614.7766</t>
  </si>
  <si>
    <t xml:space="preserve">	403.7476-401.6876</t>
  </si>
  <si>
    <t xml:space="preserve">	401.6876-400.7721</t>
  </si>
  <si>
    <t xml:space="preserve">	619.1254-617.0654</t>
  </si>
  <si>
    <t xml:space="preserve">	609.5123-608.3679</t>
  </si>
  <si>
    <t xml:space="preserve">	598.0682-597.1527</t>
  </si>
  <si>
    <t xml:space="preserve">	400.5432-398.0255</t>
  </si>
  <si>
    <t xml:space="preserve">	401.6876-401.9165</t>
  </si>
  <si>
    <t xml:space="preserve">	399.3988-399.1699</t>
  </si>
  <si>
    <t xml:space="preserve">	402.6031-402.3743</t>
  </si>
  <si>
    <t xml:space="preserve">	405.1208-404.892</t>
  </si>
  <si>
    <t xml:space="preserve">	404.2053-403.9764</t>
  </si>
  <si>
    <t xml:space="preserve">	405.5786-404.6631</t>
  </si>
  <si>
    <t xml:space="preserve">	401.9165-398.941</t>
  </si>
  <si>
    <t xml:space="preserve">	399.6277-400.0854</t>
  </si>
  <si>
    <t xml:space="preserve">	413.5895-412.9028</t>
  </si>
  <si>
    <t xml:space="preserve">	412.2162-411.0718</t>
  </si>
  <si>
    <t xml:space="preserve">	412.4451-411.5295</t>
  </si>
  <si>
    <t xml:space="preserve">	410.3851-409.6985</t>
  </si>
  <si>
    <t xml:space="preserve">	414.505-414.7339</t>
  </si>
  <si>
    <t xml:space="preserve">	470.8099-465.7745</t>
  </si>
  <si>
    <t xml:space="preserve">	406.723-407.6385</t>
  </si>
  <si>
    <t xml:space="preserve">	406.4941-407.6385</t>
  </si>
  <si>
    <t xml:space="preserve">	410.1563-410.3851</t>
  </si>
  <si>
    <t xml:space="preserve">	411.0718-411.3007</t>
  </si>
  <si>
    <t xml:space="preserve">	407.4097-408.0963</t>
  </si>
  <si>
    <t xml:space="preserve">	404.6631-394.8212</t>
  </si>
  <si>
    <t xml:space="preserve">	411.5295-404.2053</t>
  </si>
  <si>
    <t>15_5</t>
  </si>
  <si>
    <t xml:space="preserve">	411.5295-412.2162</t>
  </si>
  <si>
    <t xml:space="preserve">	408.3252-409.6985</t>
  </si>
  <si>
    <t xml:space="preserve">	415.4205-412.674</t>
  </si>
  <si>
    <t xml:space="preserve">	413.1317-410.3851</t>
  </si>
  <si>
    <t xml:space="preserve">	411.9873-409.4696</t>
  </si>
  <si>
    <t xml:space="preserve">	411.3007-408.5541</t>
  </si>
  <si>
    <t xml:space="preserve">	408.3252-404.892</t>
  </si>
  <si>
    <t xml:space="preserve">	413.3606-411.7584</t>
  </si>
  <si>
    <t xml:space="preserve">	410.614-407.8674</t>
  </si>
  <si>
    <t xml:space="preserve">	413.8184-412.9028</t>
  </si>
  <si>
    <t xml:space="preserve">	410.614-411.0718</t>
  </si>
  <si>
    <t xml:space="preserve">	410.8429-411.3007</t>
  </si>
  <si>
    <t xml:space="preserve">	563.0493-561.9049</t>
  </si>
  <si>
    <t xml:space="preserve">	607.6813-606.9946</t>
  </si>
  <si>
    <t xml:space="preserve">	608.139-607.6813</t>
  </si>
  <si>
    <t xml:space="preserve">	616.8365-615.4633</t>
  </si>
  <si>
    <t xml:space="preserve">	412.9028-413.3606</t>
  </si>
  <si>
    <t xml:space="preserve">	412.674-412.9028</t>
  </si>
  <si>
    <t xml:space="preserve">	405.5786-407.4097</t>
  </si>
  <si>
    <t xml:space="preserve">	406.9519-406.723</t>
  </si>
  <si>
    <t xml:space="preserve">	403.7476-404.6631</t>
  </si>
  <si>
    <t xml:space="preserve">	409.6985-410.614</t>
  </si>
  <si>
    <t xml:space="preserve">	411.7584-410.614</t>
  </si>
  <si>
    <t xml:space="preserve">	354.3091-353.6224</t>
  </si>
  <si>
    <t xml:space="preserve">	369.4153-368.9575</t>
  </si>
  <si>
    <t xml:space="preserve">	409.0118-408.0963</t>
  </si>
  <si>
    <t xml:space="preserve">	610.4279-610.199</t>
  </si>
  <si>
    <t xml:space="preserve">	410.8429-410.1563</t>
  </si>
  <si>
    <t xml:space="preserve">	406.9519-406.4941</t>
  </si>
  <si>
    <t xml:space="preserve">	619.1254-617.7521</t>
  </si>
  <si>
    <t xml:space="preserve">	610.4279-609.7412</t>
  </si>
  <si>
    <t xml:space="preserve">	611.5723-610.6567</t>
  </si>
  <si>
    <t xml:space="preserve">	403.5187-404.4342</t>
  </si>
  <si>
    <t xml:space="preserve">	408.5541-410.1563</t>
  </si>
  <si>
    <t xml:space="preserve">	404.892-404.6631</t>
  </si>
  <si>
    <t xml:space="preserve">	406.9519-407.6385</t>
  </si>
  <si>
    <t xml:space="preserve">	409.4696-409.6985</t>
  </si>
  <si>
    <t xml:space="preserve">	405.1208-405.8075</t>
  </si>
  <si>
    <t xml:space="preserve">	408.783-409.2407</t>
  </si>
  <si>
    <t xml:space="preserve">	407.6385-408.3252</t>
  </si>
  <si>
    <t xml:space="preserve">	406.723-407.1808</t>
  </si>
  <si>
    <t xml:space="preserve">	408.5541-408.0963</t>
  </si>
  <si>
    <t xml:space="preserve">	410.8429-411.9873</t>
  </si>
  <si>
    <t xml:space="preserve">	445.6329-446.5485</t>
  </si>
  <si>
    <t xml:space="preserve">	408.3252-409.0118</t>
  </si>
  <si>
    <t xml:space="preserve">	410.3851-410.614</t>
  </si>
  <si>
    <t xml:space="preserve">	410.614-410.1563</t>
  </si>
  <si>
    <t xml:space="preserve">	411.0718-412.674</t>
  </si>
  <si>
    <t xml:space="preserve">	403.5187-403.9764</t>
  </si>
  <si>
    <t xml:space="preserve">	407.8674-408.783</t>
  </si>
  <si>
    <t xml:space="preserve">	402.1454-403.2898</t>
  </si>
  <si>
    <t xml:space="preserve">	400.7721-401.4587</t>
  </si>
  <si>
    <t xml:space="preserve">	403.5187-405.1208</t>
  </si>
  <si>
    <t xml:space="preserve">	404.6631-405.3497</t>
  </si>
  <si>
    <t xml:space="preserve">	411.7584-414.9628</t>
  </si>
  <si>
    <t xml:space="preserve">	403.2898-404.892</t>
  </si>
  <si>
    <t xml:space="preserve">	409.9274-412.2162</t>
  </si>
  <si>
    <t xml:space="preserve">	411.5295-410.614</t>
  </si>
  <si>
    <t xml:space="preserve">	416.1072-423.8892</t>
  </si>
  <si>
    <t xml:space="preserve">	415.1917-413.1317</t>
  </si>
  <si>
    <t xml:space="preserve">	414.9628-411.7584</t>
  </si>
  <si>
    <t xml:space="preserve">	414.2761-411.5295</t>
  </si>
  <si>
    <t xml:space="preserve">	414.2761-410.8429</t>
  </si>
  <si>
    <t xml:space="preserve">	414.7339-411.7584</t>
  </si>
  <si>
    <t xml:space="preserve">	408.5541-405.1208</t>
  </si>
  <si>
    <t xml:space="preserve">	411.9873-409.6985</t>
  </si>
  <si>
    <t xml:space="preserve">	412.9028-409.6985</t>
  </si>
  <si>
    <t xml:space="preserve">	403.2898-404.4342</t>
  </si>
  <si>
    <t xml:space="preserve">	413.8184-415.4205</t>
  </si>
  <si>
    <t xml:space="preserve">	407.6385-408.783</t>
  </si>
  <si>
    <t xml:space="preserve">	409.2407-410.1563</t>
  </si>
  <si>
    <t xml:space="preserve">	412.2162-412.9028</t>
  </si>
  <si>
    <t xml:space="preserve">	407.8674-406.2653</t>
  </si>
  <si>
    <t xml:space="preserve">	606.7657-606.5369</t>
  </si>
  <si>
    <t xml:space="preserve">	606.7657-605.8502</t>
  </si>
  <si>
    <t xml:space="preserve">	613.8611-614.09</t>
  </si>
  <si>
    <t xml:space="preserve">	410.614-409.9274</t>
  </si>
  <si>
    <t xml:space="preserve">	412.9028-414.2761</t>
  </si>
  <si>
    <t xml:space="preserve">	405.1208-405.3497</t>
  </si>
  <si>
    <t xml:space="preserve">	406.723-406.4941</t>
  </si>
  <si>
    <t xml:space="preserve">	406.0364-408.0963</t>
  </si>
  <si>
    <t xml:space="preserve">	401.4587-402.832</t>
  </si>
  <si>
    <t xml:space="preserve">	410.8429-412.2162</t>
  </si>
  <si>
    <t xml:space="preserve">	338.0585-337.8296</t>
  </si>
  <si>
    <t xml:space="preserve">	359.8022-359.3445</t>
  </si>
  <si>
    <t xml:space="preserve">	608.3679-610.4279</t>
  </si>
  <si>
    <t xml:space="preserve">	409.2407-408.783</t>
  </si>
  <si>
    <t xml:space="preserve">	616.3788-615.921</t>
  </si>
  <si>
    <t xml:space="preserve">	615.4633-614.7766</t>
  </si>
  <si>
    <t xml:space="preserve">	619.1254-618.6676</t>
  </si>
  <si>
    <t xml:space="preserve">	409.2407-407.8674</t>
  </si>
  <si>
    <t xml:space="preserve">	405.5786-404.892</t>
  </si>
  <si>
    <t xml:space="preserve">	620.0409-619.5831</t>
  </si>
  <si>
    <t xml:space="preserve">	620.7275-620.9564</t>
  </si>
  <si>
    <t xml:space="preserve">	612.7167-612.2589</t>
  </si>
  <si>
    <t xml:space="preserve">	601.0437-600.3571</t>
  </si>
  <si>
    <t xml:space="preserve">	406.0364-408.3252</t>
  </si>
  <si>
    <t xml:space="preserve">	405.3497-406.0364</t>
  </si>
  <si>
    <t xml:space="preserve">	408.5541-407.8674</t>
  </si>
  <si>
    <t xml:space="preserve">	409.2407-409.9274</t>
  </si>
  <si>
    <t xml:space="preserve">	409.9274-410.8429</t>
  </si>
  <si>
    <t xml:space="preserve">	457.5348-454.3304</t>
  </si>
  <si>
    <t xml:space="preserve">	411.7584-411.5295</t>
  </si>
  <si>
    <t xml:space="preserve">	407.4097-408.3252</t>
  </si>
  <si>
    <t xml:space="preserve">	401.001-401.4587</t>
  </si>
  <si>
    <t xml:space="preserve">	406.2653-407.4097</t>
  </si>
  <si>
    <t xml:space="preserve">	409.6985-410.3851</t>
  </si>
  <si>
    <t xml:space="preserve">	408.0963-408.5541</t>
  </si>
  <si>
    <t xml:space="preserve">	406.0364-407.8674</t>
  </si>
  <si>
    <t xml:space="preserve">	410.1563-411.3007</t>
  </si>
  <si>
    <t xml:space="preserve">	397.5677-399.6277</t>
  </si>
  <si>
    <t xml:space="preserve">	411.9873-414.505</t>
  </si>
  <si>
    <t xml:space="preserve">	1-0</t>
  </si>
  <si>
    <t>16_7</t>
  </si>
  <si>
    <t xml:space="preserve">	405.8075-408.5541</t>
  </si>
  <si>
    <t xml:space="preserve">	411.0718-407.8674</t>
  </si>
  <si>
    <t xml:space="preserve">	411.9873-408.5541</t>
  </si>
  <si>
    <t xml:space="preserve">	413.5895-410.3851</t>
  </si>
  <si>
    <t xml:space="preserve">	411.3007-408.0963</t>
  </si>
  <si>
    <t xml:space="preserve">	411.5295-406.2653</t>
  </si>
  <si>
    <t xml:space="preserve">	412.674-406.9519</t>
  </si>
  <si>
    <t xml:space="preserve">	412.2162-408.3252</t>
  </si>
  <si>
    <t xml:space="preserve">	412.674-409.2407</t>
  </si>
  <si>
    <t xml:space="preserve">	413.8184-411.0718</t>
  </si>
  <si>
    <t xml:space="preserve">	411.0718-410.1563</t>
  </si>
  <si>
    <t xml:space="preserve">	413.5895-415.6494</t>
  </si>
  <si>
    <t xml:space="preserve">	408.0963-408.3252</t>
  </si>
  <si>
    <t xml:space="preserve">	559.845-560.0739</t>
  </si>
  <si>
    <t xml:space="preserve">	606.9946-605.8502</t>
  </si>
  <si>
    <t xml:space="preserve">	606.308-605.8502</t>
  </si>
  <si>
    <t xml:space="preserve">	614.3188-614.7766</t>
  </si>
  <si>
    <t xml:space="preserve">	410.3851-412.4451</t>
  </si>
  <si>
    <t xml:space="preserve">	414.9628-415.6494</t>
  </si>
  <si>
    <t xml:space="preserve">	413.1317-413.8184</t>
  </si>
  <si>
    <t xml:space="preserve">	409.9274-409.4696</t>
  </si>
  <si>
    <t xml:space="preserve">	403.9764-404.6631</t>
  </si>
  <si>
    <t xml:space="preserve">	406.0364-406.2653</t>
  </si>
  <si>
    <t xml:space="preserve">	403.0609-403.2898</t>
  </si>
  <si>
    <t xml:space="preserve">	404.4342-406.0364</t>
  </si>
  <si>
    <t xml:space="preserve">	406.2653-408.0963</t>
  </si>
  <si>
    <t xml:space="preserve">	405.1208-403.9764</t>
  </si>
  <si>
    <t xml:space="preserve">	352.2491-350.1892</t>
  </si>
  <si>
    <t xml:space="preserve">	368.9575-367.1265</t>
  </si>
  <si>
    <t xml:space="preserve">	615.921-616.1499</t>
  </si>
  <si>
    <t xml:space="preserve">	405.8075-405.1208</t>
  </si>
  <si>
    <t xml:space="preserve">	612.7167-613.1744</t>
  </si>
  <si>
    <t xml:space="preserve">	403.5187-403.7476</t>
  </si>
  <si>
    <t xml:space="preserve">	617.7521-617.0654</t>
  </si>
  <si>
    <t xml:space="preserve">	608.5968-608.3679</t>
  </si>
  <si>
    <t xml:space="preserve">	398.941-399.6277</t>
  </si>
  <si>
    <t xml:space="preserve">	402.3743-403.0609</t>
  </si>
  <si>
    <t xml:space="preserve">	401.9165-402.6031</t>
  </si>
  <si>
    <t xml:space="preserve">	403.7476-403.2898</t>
  </si>
  <si>
    <t xml:space="preserve">	406.0364-406.9519</t>
  </si>
  <si>
    <t xml:space="preserve">	405.3497-406.4941</t>
  </si>
  <si>
    <t xml:space="preserve">	405.1208-406.723</t>
  </si>
  <si>
    <t xml:space="preserve">	403.5187-404.6631</t>
  </si>
  <si>
    <t xml:space="preserve">	409.0118-409.9274</t>
  </si>
  <si>
    <t xml:space="preserve">	445.6329-446.3196</t>
  </si>
  <si>
    <t xml:space="preserve">	399.6277-398.941</t>
  </si>
  <si>
    <t xml:space="preserve">	401.9165-402.832</t>
  </si>
  <si>
    <t xml:space="preserve">	403.0609-403.5187</t>
  </si>
  <si>
    <t xml:space="preserve">	401.6876-403.0609</t>
  </si>
  <si>
    <t xml:space="preserve">	401.6876-402.1454</t>
  </si>
  <si>
    <t xml:space="preserve">	398.7122-399.8566</t>
  </si>
  <si>
    <t xml:space="preserve">	408.0963-409.6985</t>
  </si>
  <si>
    <t xml:space="preserve">	407.1808-408.0963</t>
  </si>
  <si>
    <t xml:space="preserve">	413.5895-411.9873</t>
  </si>
  <si>
    <t xml:space="preserve">	411.3007-407.6385</t>
  </si>
  <si>
    <t xml:space="preserve">	411.3007-406.723</t>
  </si>
  <si>
    <t xml:space="preserve">	411.9873-408.0963</t>
  </si>
  <si>
    <t xml:space="preserve">	409.9274-405.8075</t>
  </si>
  <si>
    <t xml:space="preserve">	412.674-408.0963</t>
  </si>
  <si>
    <t xml:space="preserve">	411.0718-406.0364</t>
  </si>
  <si>
    <t xml:space="preserve">	414.9628-411.0718</t>
  </si>
  <si>
    <t xml:space="preserve">	416.3361-411.9873</t>
  </si>
  <si>
    <t xml:space="preserve">	603.7903-604.0192</t>
  </si>
  <si>
    <t xml:space="preserve">	613.1744-613.6322</t>
  </si>
  <si>
    <t xml:space="preserve">	413.8184-414.2761</t>
  </si>
  <si>
    <t xml:space="preserve">	411.7584-412.4451</t>
  </si>
  <si>
    <t xml:space="preserve">	405.3497-405.1208</t>
  </si>
  <si>
    <t xml:space="preserve">	403.9764-404.892</t>
  </si>
  <si>
    <t xml:space="preserve">	404.4342-404.892</t>
  </si>
  <si>
    <t xml:space="preserve">	399.6277-400.3143</t>
  </si>
  <si>
    <t xml:space="preserve">	398.2544-398.4833</t>
  </si>
  <si>
    <t xml:space="preserve">	405.3497-406.9519</t>
  </si>
  <si>
    <t xml:space="preserve">	336.2274-334.6252</t>
  </si>
  <si>
    <t xml:space="preserve">	359.8022-358.429</t>
  </si>
  <si>
    <t xml:space="preserve">	607.9102-608.8257</t>
  </si>
  <si>
    <t xml:space="preserve">	404.892-404.2053</t>
  </si>
  <si>
    <t xml:space="preserve">	614.7766-614.09</t>
  </si>
  <si>
    <t xml:space="preserve">	614.09-613.1744</t>
  </si>
  <si>
    <t xml:space="preserve">	617.7521-618.2098</t>
  </si>
  <si>
    <t xml:space="preserve">	406.2653-405.1208</t>
  </si>
  <si>
    <t xml:space="preserve">	617.981-618.2098</t>
  </si>
  <si>
    <t xml:space="preserve">	620.4987-620.0409</t>
  </si>
  <si>
    <t xml:space="preserve">	610.8856-610.6567</t>
  </si>
  <si>
    <t xml:space="preserve">	403.9764-404.4342</t>
  </si>
  <si>
    <t xml:space="preserve">	402.832-403.5187</t>
  </si>
  <si>
    <t xml:space="preserve">	406.4941-407.8674</t>
  </si>
  <si>
    <t xml:space="preserve">	407.8674-407.4097</t>
  </si>
  <si>
    <t xml:space="preserve">	411.9873-413.1317</t>
  </si>
  <si>
    <t xml:space="preserve">	457.077-454.3304</t>
  </si>
  <si>
    <t xml:space="preserve">	401.6876-402.6031</t>
  </si>
  <si>
    <t xml:space="preserve">	399.1699-399.6277</t>
  </si>
  <si>
    <t xml:space="preserve">	404.2053-405.1208</t>
  </si>
  <si>
    <t xml:space="preserve">	393.6768-394.8212</t>
  </si>
  <si>
    <t xml:space="preserve">	406.2653-407.6385</t>
  </si>
  <si>
    <t>18_8</t>
  </si>
  <si>
    <t xml:space="preserve">	410.3851-411.9873</t>
  </si>
  <si>
    <t xml:space="preserve">	408.0963-407.6385</t>
  </si>
  <si>
    <t xml:space="preserve">	411.9873-411.5295</t>
  </si>
  <si>
    <t xml:space="preserve">	560.9894-560.3027</t>
  </si>
  <si>
    <t xml:space="preserve">	607.2235-606.308</t>
  </si>
  <si>
    <t xml:space="preserve">	606.7657-606.308</t>
  </si>
  <si>
    <t xml:space="preserve">	614.7766-615.2344</t>
  </si>
  <si>
    <t xml:space="preserve">	408.5541-408.3252</t>
  </si>
  <si>
    <t xml:space="preserve">	411.7584-411.3007</t>
  </si>
  <si>
    <t xml:space="preserve">	406.9519-405.8075</t>
  </si>
  <si>
    <t xml:space="preserve">	411.5295-410.3851</t>
  </si>
  <si>
    <t xml:space="preserve">	351.7914-351.5625</t>
  </si>
  <si>
    <t xml:space="preserve">	370.3308-370.5597</t>
  </si>
  <si>
    <t xml:space="preserve">	406.723-405.5786</t>
  </si>
  <si>
    <t xml:space="preserve">	617.5232-617.0654</t>
  </si>
  <si>
    <t xml:space="preserve">	403.7476-403.9764</t>
  </si>
  <si>
    <t xml:space="preserve">	612.7167-612.4878</t>
  </si>
  <si>
    <t xml:space="preserve">	617.7521-617.981</t>
  </si>
  <si>
    <t xml:space="preserve">	618.2098-617.2943</t>
  </si>
  <si>
    <t xml:space="preserve">	608.8257-607.6813</t>
  </si>
  <si>
    <t xml:space="preserve">	409.2407-408.5541</t>
  </si>
  <si>
    <t xml:space="preserve">	406.0364-405.1208</t>
  </si>
  <si>
    <t xml:space="preserve">	406.2653-406.4941</t>
  </si>
  <si>
    <t xml:space="preserve">	417.9382-417.7094</t>
  </si>
  <si>
    <t xml:space="preserve">	416.5649-417.0227</t>
  </si>
  <si>
    <t xml:space="preserve">	417.7094-418.1671</t>
  </si>
  <si>
    <t xml:space="preserve">	411.7584-412.9028</t>
  </si>
  <si>
    <t xml:space="preserve">	405.1208-404.2053</t>
  </si>
  <si>
    <t xml:space="preserve">	406.2653-407.1808</t>
  </si>
  <si>
    <t xml:space="preserve">	400.7721-401.2299</t>
  </si>
  <si>
    <t xml:space="preserve">	407.1808-406.2653</t>
  </si>
  <si>
    <t xml:space="preserve">	409.4696-409.9274</t>
  </si>
  <si>
    <t xml:space="preserve">	406.2653-406.723</t>
  </si>
  <si>
    <t xml:space="preserve">	409.2407-409.0118</t>
  </si>
  <si>
    <t xml:space="preserve">	411.5295-410.1563</t>
  </si>
  <si>
    <t xml:space="preserve">	410.1563-409.2407</t>
  </si>
  <si>
    <t xml:space="preserve">	411.3007-411.9873</t>
  </si>
  <si>
    <t xml:space="preserve">	410.8429-409.9274</t>
  </si>
  <si>
    <t xml:space="preserve">	406.4941-407.1808</t>
  </si>
  <si>
    <t xml:space="preserve">	335.5408-336.2274</t>
  </si>
  <si>
    <t xml:space="preserve">	361.4044-360.9467</t>
  </si>
  <si>
    <t xml:space="preserve">	607.6813-608.139</t>
  </si>
  <si>
    <t xml:space="preserve">	615.0055-614.7766</t>
  </si>
  <si>
    <t xml:space="preserve">	615.4633-615.0055</t>
  </si>
  <si>
    <t xml:space="preserve">	614.3188-613.1744</t>
  </si>
  <si>
    <t xml:space="preserve">	617.981-616.3788</t>
  </si>
  <si>
    <t xml:space="preserve">	618.2098-618.6676</t>
  </si>
  <si>
    <t xml:space="preserve">	620.0409-618.8965</t>
  </si>
  <si>
    <t xml:space="preserve">	610.6567-610.199</t>
  </si>
  <si>
    <t xml:space="preserve">	598.2971-598.0682</t>
  </si>
  <si>
    <t xml:space="preserve">	409.2407-410.3851</t>
  </si>
  <si>
    <t xml:space="preserve">	416.1072-415.8783</t>
  </si>
  <si>
    <t xml:space="preserve">	417.4805-417.2516</t>
  </si>
  <si>
    <t xml:space="preserve">	415.8783-416.3361</t>
  </si>
  <si>
    <t xml:space="preserve">	418.1671-418.396</t>
  </si>
  <si>
    <t xml:space="preserve">	469.6655-465.0879</t>
  </si>
  <si>
    <t xml:space="preserve">	412.674-412.4451</t>
  </si>
  <si>
    <t xml:space="preserve">	412.9028-413.1317</t>
  </si>
  <si>
    <t xml:space="preserve">	402.832-402.6031</t>
  </si>
  <si>
    <t xml:space="preserve">	401.6876-402.3743</t>
  </si>
  <si>
    <t xml:space="preserve">	408.0963-409.2407</t>
  </si>
  <si>
    <t xml:space="preserve">	404.6631-405.1208</t>
  </si>
  <si>
    <t xml:space="preserve">	394.8212-394.1345</t>
  </si>
  <si>
    <t>19_13</t>
  </si>
  <si>
    <t xml:space="preserve">	412.4451-410.3851</t>
  </si>
  <si>
    <t xml:space="preserve">	407.8674-404.2053</t>
  </si>
  <si>
    <t xml:space="preserve">	416.3361-408.0963</t>
  </si>
  <si>
    <t xml:space="preserve">	412.2162-404.6631</t>
  </si>
  <si>
    <t xml:space="preserve">	413.5895-406.0364</t>
  </si>
  <si>
    <t xml:space="preserve">	414.2761-406.2653</t>
  </si>
  <si>
    <t xml:space="preserve">	415.6494-408.5541</t>
  </si>
  <si>
    <t xml:space="preserve">	412.9028-404.892</t>
  </si>
  <si>
    <t xml:space="preserve">	413.8184-405.8075</t>
  </si>
  <si>
    <t xml:space="preserve">	414.7339-407.6385</t>
  </si>
  <si>
    <t xml:space="preserve">	414.7339-406.0364</t>
  </si>
  <si>
    <t xml:space="preserve">	412.2162-411.3007</t>
  </si>
  <si>
    <t xml:space="preserve">	417.9382-417.2516</t>
  </si>
  <si>
    <t xml:space="preserve">	559.1583-558.0139</t>
  </si>
  <si>
    <t xml:space="preserve">	606.9946-604.9347</t>
  </si>
  <si>
    <t xml:space="preserve">	606.5369-605.3925</t>
  </si>
  <si>
    <t xml:space="preserve">	615.0055-614.09</t>
  </si>
  <si>
    <t xml:space="preserve">	414.505-412.4451</t>
  </si>
  <si>
    <t xml:space="preserve">	413.5895-410.614</t>
  </si>
  <si>
    <t xml:space="preserve">	410.8429-409.4696</t>
  </si>
  <si>
    <t xml:space="preserve">	412.2162-409.9274</t>
  </si>
  <si>
    <t xml:space="preserve">	406.2653-403.7476</t>
  </si>
  <si>
    <t xml:space="preserve">	406.2653-404.2053</t>
  </si>
  <si>
    <t xml:space="preserve">	407.1808-404.892</t>
  </si>
  <si>
    <t xml:space="preserve">	408.783-407.4097</t>
  </si>
  <si>
    <t xml:space="preserve">	407.4097-406.0364</t>
  </si>
  <si>
    <t xml:space="preserve">	416.5649-412.4451</t>
  </si>
  <si>
    <t xml:space="preserve">	419.0826-413.1317</t>
  </si>
  <si>
    <t xml:space="preserve">	355.4535-354.0802</t>
  </si>
  <si>
    <t xml:space="preserve">	372.8485-368.2709</t>
  </si>
  <si>
    <t xml:space="preserve">	405.1208-403.7476</t>
  </si>
  <si>
    <t xml:space="preserve">	609.5123-608.5968</t>
  </si>
  <si>
    <t xml:space="preserve">	616.6077-615.6921</t>
  </si>
  <si>
    <t xml:space="preserve">	403.9764-402.3743</t>
  </si>
  <si>
    <t xml:space="preserve">	406.723-404.2053</t>
  </si>
  <si>
    <t xml:space="preserve">	403.0609-401.2299</t>
  </si>
  <si>
    <t xml:space="preserve">	612.2589-609.9701</t>
  </si>
  <si>
    <t xml:space="preserve">	404.6631-403.5187</t>
  </si>
  <si>
    <t xml:space="preserve">	404.4342-403.0609</t>
  </si>
  <si>
    <t xml:space="preserve">	616.1499-615.6921</t>
  </si>
  <si>
    <t xml:space="preserve">	618.2098-616.6077</t>
  </si>
  <si>
    <t xml:space="preserve">	608.5968-607.4524</t>
  </si>
  <si>
    <t xml:space="preserve">	609.7412-608.5968</t>
  </si>
  <si>
    <t xml:space="preserve">	402.3743-401.001</t>
  </si>
  <si>
    <t xml:space="preserve">	409.2407-407.4097</t>
  </si>
  <si>
    <t xml:space="preserve">	406.9519-405.3497</t>
  </si>
  <si>
    <t xml:space="preserve">	407.1808-406.723</t>
  </si>
  <si>
    <t xml:space="preserve">	408.0963-406.4941</t>
  </si>
  <si>
    <t xml:space="preserve">	409.0118-407.8674</t>
  </si>
  <si>
    <t xml:space="preserve">	409.9274-408.3252</t>
  </si>
  <si>
    <t xml:space="preserve">	447.2351-447.0062</t>
  </si>
  <si>
    <t xml:space="preserve">	402.3743-399.8566</t>
  </si>
  <si>
    <t xml:space="preserve">	412.9028-412.2162</t>
  </si>
  <si>
    <t xml:space="preserve">	411.0718-410.3851</t>
  </si>
  <si>
    <t xml:space="preserve">	409.6985-408.0963</t>
  </si>
  <si>
    <t xml:space="preserve">	410.614-407.1808</t>
  </si>
  <si>
    <t xml:space="preserve">	418.1671-407.6385</t>
  </si>
  <si>
    <t xml:space="preserve">	409.9274-403.7476</t>
  </si>
  <si>
    <t xml:space="preserve">	408.0963-406.0364</t>
  </si>
  <si>
    <t xml:space="preserve">	409.2407-406.4941</t>
  </si>
  <si>
    <t xml:space="preserve">	410.8429-407.8674</t>
  </si>
  <si>
    <t xml:space="preserve">	415.8783-408.783</t>
  </si>
  <si>
    <t xml:space="preserve">	417.2516-409.6985</t>
  </si>
  <si>
    <t xml:space="preserve">	416.1072-408.0963</t>
  </si>
  <si>
    <t xml:space="preserve">	415.8783-406.723</t>
  </si>
  <si>
    <t xml:space="preserve">	416.5649-408.5541</t>
  </si>
  <si>
    <t xml:space="preserve">	414.505-406.723</t>
  </si>
  <si>
    <t xml:space="preserve">	417.2516-408.783</t>
  </si>
  <si>
    <t xml:space="preserve">	418.1671-410.3851</t>
  </si>
  <si>
    <t xml:space="preserve">	416.5649-407.8674</t>
  </si>
  <si>
    <t xml:space="preserve">	404.4342-403.7476</t>
  </si>
  <si>
    <t xml:space="preserve">	410.3851-409.2407</t>
  </si>
  <si>
    <t xml:space="preserve">	416.5649-416.3361</t>
  </si>
  <si>
    <t xml:space="preserve">	410.3851-409.4696</t>
  </si>
  <si>
    <t xml:space="preserve">	404.4342-402.6031</t>
  </si>
  <si>
    <t xml:space="preserve">	605.1636-604.248</t>
  </si>
  <si>
    <t xml:space="preserve">	605.6213-603.3325</t>
  </si>
  <si>
    <t xml:space="preserve">	612.7167-611.3434</t>
  </si>
  <si>
    <t xml:space="preserve">	410.614-409.0118</t>
  </si>
  <si>
    <t xml:space="preserve">	412.674-410.1563</t>
  </si>
  <si>
    <t xml:space="preserve">	410.3851-408.3252</t>
  </si>
  <si>
    <t xml:space="preserve">	403.0609-401.6876</t>
  </si>
  <si>
    <t xml:space="preserve">	406.723-405.1208</t>
  </si>
  <si>
    <t xml:space="preserve">	406.0364-404.2053</t>
  </si>
  <si>
    <t xml:space="preserve">	408.5541-407.1808</t>
  </si>
  <si>
    <t xml:space="preserve">	409.6985-407.6385</t>
  </si>
  <si>
    <t xml:space="preserve">	410.1563-407.4097</t>
  </si>
  <si>
    <t xml:space="preserve">	411.3007-409.4696</t>
  </si>
  <si>
    <t xml:space="preserve">	414.2761-412.9028</t>
  </si>
  <si>
    <t xml:space="preserve">	418.6249-409.9274</t>
  </si>
  <si>
    <t xml:space="preserve">	414.7339-403.9764</t>
  </si>
  <si>
    <t xml:space="preserve">	414.505-403.2898</t>
  </si>
  <si>
    <t xml:space="preserve">	421.8292-414.7339</t>
  </si>
  <si>
    <t xml:space="preserve">	415.1917-408.0963</t>
  </si>
  <si>
    <t xml:space="preserve">	418.6249-410.614</t>
  </si>
  <si>
    <t xml:space="preserve">	339.2029-338.0585</t>
  </si>
  <si>
    <t xml:space="preserve">	363.0066-359.5734</t>
  </si>
  <si>
    <t xml:space="preserve">	615.2344-614.3188</t>
  </si>
  <si>
    <t xml:space="preserve">	405.5786-403.2898</t>
  </si>
  <si>
    <t xml:space="preserve">	615.2344-614.09</t>
  </si>
  <si>
    <t xml:space="preserve">	614.3188-612.4878</t>
  </si>
  <si>
    <t xml:space="preserve">	618.6676-616.1499</t>
  </si>
  <si>
    <t xml:space="preserve">	403.9764-402.832</t>
  </si>
  <si>
    <t xml:space="preserve">	405.3497-403.2898</t>
  </si>
  <si>
    <t xml:space="preserve">	405.5786-403.9764</t>
  </si>
  <si>
    <t xml:space="preserve">	618.6676-617.0654</t>
  </si>
  <si>
    <t xml:space="preserve">	619.3542-617.2943</t>
  </si>
  <si>
    <t xml:space="preserve">	610.8856-609.2834</t>
  </si>
  <si>
    <t xml:space="preserve">	599.8993-597.3816</t>
  </si>
  <si>
    <t xml:space="preserve">	411.5295-409.9274</t>
  </si>
  <si>
    <t xml:space="preserve">	411.3007-410.1563</t>
  </si>
  <si>
    <t xml:space="preserve">	411.3007-411.0718</t>
  </si>
  <si>
    <t xml:space="preserve">	461.1969-457.077</t>
  </si>
  <si>
    <t xml:space="preserve">	406.0364-405.8075</t>
  </si>
  <si>
    <t xml:space="preserve">	408.3252-407.6385</t>
  </si>
  <si>
    <t xml:space="preserve">	409.2407-408.0963</t>
  </si>
  <si>
    <t xml:space="preserve">	408.0963-407.4097</t>
  </si>
  <si>
    <t xml:space="preserve">	409.2407-397.7966</t>
  </si>
  <si>
    <t xml:space="preserve">	415.1917-407.8674</t>
  </si>
  <si>
    <t>20_11</t>
  </si>
  <si>
    <t xml:space="preserve">	411.7584-411.0718</t>
  </si>
  <si>
    <t xml:space="preserve">	414.9628-412.9028</t>
  </si>
  <si>
    <t xml:space="preserve">	416.7938-411.9873</t>
  </si>
  <si>
    <t xml:space="preserve">	410.614-406.4941</t>
  </si>
  <si>
    <t xml:space="preserve">	413.5895-408.3252</t>
  </si>
  <si>
    <t xml:space="preserve">	412.674-407.6385</t>
  </si>
  <si>
    <t xml:space="preserve">	412.2162-406.723</t>
  </si>
  <si>
    <t xml:space="preserve">	411.3007-406.2653</t>
  </si>
  <si>
    <t xml:space="preserve">	415.6494-410.1563</t>
  </si>
  <si>
    <t xml:space="preserve">	412.674-408.3252</t>
  </si>
  <si>
    <t xml:space="preserve">	412.4451-408.0963</t>
  </si>
  <si>
    <t xml:space="preserve">	411.0718-409.6985</t>
  </si>
  <si>
    <t xml:space="preserve">	405.8075-404.6631</t>
  </si>
  <si>
    <t xml:space="preserve">	410.1563-408.5541</t>
  </si>
  <si>
    <t xml:space="preserve">	410.1563-410.614</t>
  </si>
  <si>
    <t xml:space="preserve">	415.8783-415.1917</t>
  </si>
  <si>
    <t xml:space="preserve">	559.3872-557.785</t>
  </si>
  <si>
    <t xml:space="preserve">	606.7657-604.248</t>
  </si>
  <si>
    <t xml:space="preserve">	606.308-604.4769</t>
  </si>
  <si>
    <t xml:space="preserve">	411.3007-409.9274</t>
  </si>
  <si>
    <t xml:space="preserve">	411.9873-410.614</t>
  </si>
  <si>
    <t xml:space="preserve">	411.7584-409.2407</t>
  </si>
  <si>
    <t xml:space="preserve">	409.6985-409.0118</t>
  </si>
  <si>
    <t xml:space="preserve">	412.674-411.7584</t>
  </si>
  <si>
    <t xml:space="preserve">	414.7339-413.1317</t>
  </si>
  <si>
    <t xml:space="preserve">	413.8184-412.2162</t>
  </si>
  <si>
    <t xml:space="preserve">	414.0472-411.5295</t>
  </si>
  <si>
    <t xml:space="preserve">	413.1317-409.9274</t>
  </si>
  <si>
    <t xml:space="preserve">	411.0718-407.1808</t>
  </si>
  <si>
    <t xml:space="preserve">	368.4998-367.8131</t>
  </si>
  <si>
    <t xml:space="preserve">	406.0364-403.9764</t>
  </si>
  <si>
    <t xml:space="preserve">	613.1744-611.5723</t>
  </si>
  <si>
    <t xml:space="preserve">	404.892-403.0609</t>
  </si>
  <si>
    <t xml:space="preserve">	618.4387-616.8365</t>
  </si>
  <si>
    <t xml:space="preserve">	608.5968-606.7657</t>
  </si>
  <si>
    <t xml:space="preserve">	400.5432-399.3988</t>
  </si>
  <si>
    <t xml:space="preserve">	447.9218-449.295</t>
  </si>
  <si>
    <t xml:space="preserve">	416.1072-416.5649</t>
  </si>
  <si>
    <t xml:space="preserve">	413.1317-410.8429</t>
  </si>
  <si>
    <t xml:space="preserve">	412.674-410.8429</t>
  </si>
  <si>
    <t xml:space="preserve">	404.6631-401.9165</t>
  </si>
  <si>
    <t xml:space="preserve">	415.1917-410.614</t>
  </si>
  <si>
    <t xml:space="preserve">	416.5649-411.7584</t>
  </si>
  <si>
    <t xml:space="preserve">	412.674-407.1808</t>
  </si>
  <si>
    <t xml:space="preserve">	412.674-407.8674</t>
  </si>
  <si>
    <t xml:space="preserve">	412.2162-406.4941</t>
  </si>
  <si>
    <t xml:space="preserve">	413.3606-409.2407</t>
  </si>
  <si>
    <t xml:space="preserve">	414.7339-409.9274</t>
  </si>
  <si>
    <t xml:space="preserve">	411.3007-410.614</t>
  </si>
  <si>
    <t xml:space="preserve">	413.3606-413.8184</t>
  </si>
  <si>
    <t xml:space="preserve">	414.2761-414.7339</t>
  </si>
  <si>
    <t xml:space="preserve">	412.4451-412.9028</t>
  </si>
  <si>
    <t xml:space="preserve">	416.1072-415.6494</t>
  </si>
  <si>
    <t xml:space="preserve">	406.0364-403.2898</t>
  </si>
  <si>
    <t xml:space="preserve">	403.5187-401.4587</t>
  </si>
  <si>
    <t xml:space="preserve">	604.248-603.1036</t>
  </si>
  <si>
    <t xml:space="preserve">	611.3434-610.4279</t>
  </si>
  <si>
    <t xml:space="preserve">	412.2162-410.8429</t>
  </si>
  <si>
    <t xml:space="preserve">	412.9028-411.5295</t>
  </si>
  <si>
    <t xml:space="preserve">	412.674-410.3851</t>
  </si>
  <si>
    <t xml:space="preserve">	411.7584-410.1563</t>
  </si>
  <si>
    <t xml:space="preserve">	406.9519-400.7721</t>
  </si>
  <si>
    <t xml:space="preserve">	406.4941-400.3143</t>
  </si>
  <si>
    <t xml:space="preserve">	414.505-410.614</t>
  </si>
  <si>
    <t xml:space="preserve">	411.0718-407.6385</t>
  </si>
  <si>
    <t xml:space="preserve">	411.0718-406.4941</t>
  </si>
  <si>
    <t xml:space="preserve">	336.2274-335.9985</t>
  </si>
  <si>
    <t xml:space="preserve">	359.1156-358.6578</t>
  </si>
  <si>
    <t xml:space="preserve">	404.2053-402.832</t>
  </si>
  <si>
    <t xml:space="preserve">	613.8611-613.4033</t>
  </si>
  <si>
    <t xml:space="preserve">	618.4387-616.6077</t>
  </si>
  <si>
    <t xml:space="preserve">	617.981-617.5232</t>
  </si>
  <si>
    <t xml:space="preserve">	620.7275-618.4387</t>
  </si>
  <si>
    <t xml:space="preserve">	610.8856-609.7412</t>
  </si>
  <si>
    <t xml:space="preserve">	600.3571-597.8394</t>
  </si>
  <si>
    <t xml:space="preserve">	405.3497-404.4342</t>
  </si>
  <si>
    <t xml:space="preserve">	466.6901-462.7991</t>
  </si>
  <si>
    <t xml:space="preserve">	414.0472-413.1317</t>
  </si>
  <si>
    <t xml:space="preserve">	413.5895-412.674</t>
  </si>
  <si>
    <t xml:space="preserve">	414.2761-414.505</t>
  </si>
  <si>
    <t xml:space="preserve">	410.3851-410.8429</t>
  </si>
  <si>
    <t xml:space="preserve">	414.9628-414.0472</t>
  </si>
  <si>
    <t xml:space="preserve">	401.2299-395.2789</t>
  </si>
  <si>
    <t xml:space="preserve">	412.4451-407.6385</t>
  </si>
  <si>
    <t>20_12</t>
  </si>
  <si>
    <t xml:space="preserve">	410.8429-406.0364</t>
  </si>
  <si>
    <t xml:space="preserve">	413.8184-410.614</t>
  </si>
  <si>
    <t xml:space="preserve">	413.8184-411.3007</t>
  </si>
  <si>
    <t xml:space="preserve">	413.1317-410.1563</t>
  </si>
  <si>
    <t xml:space="preserve">	412.4451-409.9274</t>
  </si>
  <si>
    <t xml:space="preserve">	414.0472-411.7584</t>
  </si>
  <si>
    <t xml:space="preserve">	412.674-411.0718</t>
  </si>
  <si>
    <t xml:space="preserve">	414.505-413.5895</t>
  </si>
  <si>
    <t xml:space="preserve">	410.614-411.9873</t>
  </si>
  <si>
    <t xml:space="preserve">	560.5316-559.6161</t>
  </si>
  <si>
    <t xml:space="preserve">	606.5369-604.9347</t>
  </si>
  <si>
    <t xml:space="preserve">	615.4633-615.2344</t>
  </si>
  <si>
    <t xml:space="preserve">	413.3606-413.5895</t>
  </si>
  <si>
    <t xml:space="preserve">	412.4451-411.3007</t>
  </si>
  <si>
    <t xml:space="preserve">	411.9873-410.8429</t>
  </si>
  <si>
    <t xml:space="preserve">	409.4696-410.3851</t>
  </si>
  <si>
    <t xml:space="preserve">	408.5541-407.4097</t>
  </si>
  <si>
    <t xml:space="preserve">	412.4451-411.0718</t>
  </si>
  <si>
    <t xml:space="preserve">	412.4451-410.614</t>
  </si>
  <si>
    <t xml:space="preserve">	354.7668-354.3091</t>
  </si>
  <si>
    <t xml:space="preserve">	371.4752-369.6442</t>
  </si>
  <si>
    <t xml:space="preserve">	609.7412-608.3679</t>
  </si>
  <si>
    <t xml:space="preserve">	613.4033-611.8011</t>
  </si>
  <si>
    <t xml:space="preserve">	403.5187-401.6876</t>
  </si>
  <si>
    <t xml:space="preserve">	616.8365-617.5232</t>
  </si>
  <si>
    <t xml:space="preserve">	617.981-617.0654</t>
  </si>
  <si>
    <t xml:space="preserve">	608.8257-608.3679</t>
  </si>
  <si>
    <t xml:space="preserve">	400.0854-400.3143</t>
  </si>
  <si>
    <t xml:space="preserve">	405.5786-406.723</t>
  </si>
  <si>
    <t xml:space="preserve">	405.8075-407.6385</t>
  </si>
  <si>
    <t xml:space="preserve">	409.0118-410.614</t>
  </si>
  <si>
    <t xml:space="preserve">	410.614-410.3851</t>
  </si>
  <si>
    <t xml:space="preserve">	413.1317-412.674</t>
  </si>
  <si>
    <t xml:space="preserve">	449.7528-449.5239</t>
  </si>
  <si>
    <t xml:space="preserve">	406.4941-406.2653</t>
  </si>
  <si>
    <t xml:space="preserve">	407.1808-408.3252</t>
  </si>
  <si>
    <t xml:space="preserve">	406.9519-408.783</t>
  </si>
  <si>
    <t xml:space="preserve">	406.9519-407.8674</t>
  </si>
  <si>
    <t xml:space="preserve">	411.0718-409.0118</t>
  </si>
  <si>
    <t xml:space="preserve">	410.614-435.5621</t>
  </si>
  <si>
    <t xml:space="preserve">	403.0609-404.6631</t>
  </si>
  <si>
    <t xml:space="preserve">	413.3606-409.9274</t>
  </si>
  <si>
    <t xml:space="preserve">	414.7339-410.8429</t>
  </si>
  <si>
    <t xml:space="preserve">	416.3361-413.8184</t>
  </si>
  <si>
    <t xml:space="preserve">	413.3606-410.1563</t>
  </si>
  <si>
    <t xml:space="preserve">	412.4451-408.783</t>
  </si>
  <si>
    <t xml:space="preserve">	413.3606-411.3007</t>
  </si>
  <si>
    <t xml:space="preserve">	407.6385-411.0718</t>
  </si>
  <si>
    <t xml:space="preserve">	415.4205-416.1072</t>
  </si>
  <si>
    <t xml:space="preserve">	406.2653-404.892</t>
  </si>
  <si>
    <t xml:space="preserve">	604.9347-604.0192</t>
  </si>
  <si>
    <t xml:space="preserve">	614.09-611.5723</t>
  </si>
  <si>
    <t xml:space="preserve">	415.6494-414.2761</t>
  </si>
  <si>
    <t xml:space="preserve">	416.7938-416.1072</t>
  </si>
  <si>
    <t xml:space="preserve">	404.2053-402.3743</t>
  </si>
  <si>
    <t xml:space="preserve">	411.3007-409.0118</t>
  </si>
  <si>
    <t xml:space="preserve">	362.0911-360.4889</t>
  </si>
  <si>
    <t xml:space="preserve">	614.3188-614.09</t>
  </si>
  <si>
    <t xml:space="preserve">	614.5477-612.9456</t>
  </si>
  <si>
    <t xml:space="preserve">	619.1254-616.8365</t>
  </si>
  <si>
    <t xml:space="preserve">	403.0609-401.4587</t>
  </si>
  <si>
    <t xml:space="preserve">	404.6631-403.2898</t>
  </si>
  <si>
    <t xml:space="preserve">	618.6676-618.8965</t>
  </si>
  <si>
    <t xml:space="preserve">	619.5831-621.1853</t>
  </si>
  <si>
    <t xml:space="preserve">	609.9701-609.7412</t>
  </si>
  <si>
    <t xml:space="preserve">	599.8993-600.1282</t>
  </si>
  <si>
    <t xml:space="preserve">	404.892-405.8075</t>
  </si>
  <si>
    <t xml:space="preserve">	406.0364-406.723</t>
  </si>
  <si>
    <t xml:space="preserve">	404.892-405.5786</t>
  </si>
  <si>
    <t xml:space="preserve">	406.4941-406.0364</t>
  </si>
  <si>
    <t xml:space="preserve">	409.4696-411.3007</t>
  </si>
  <si>
    <t xml:space="preserve">	459.8236-456.8481</t>
  </si>
  <si>
    <t xml:space="preserve">	411.3007-411.7584</t>
  </si>
  <si>
    <t xml:space="preserve">	406.723-408.0963</t>
  </si>
  <si>
    <t xml:space="preserve">	406.0364-407.6385</t>
  </si>
  <si>
    <t xml:space="preserve">	405.1208-406.2653</t>
  </si>
  <si>
    <t xml:space="preserve">	409.2407-409.6985</t>
  </si>
  <si>
    <t xml:space="preserve">	408.5541-409.4696</t>
  </si>
  <si>
    <t xml:space="preserve">	409.0118-410.3851</t>
  </si>
  <si>
    <t xml:space="preserve">	409.6985-410.8429</t>
  </si>
  <si>
    <t xml:space="preserve">	398.941-400.7721</t>
  </si>
  <si>
    <t>22_13</t>
  </si>
  <si>
    <t xml:space="preserve">	412.9028-412.4451</t>
  </si>
  <si>
    <t xml:space="preserve">	406.723-407.4097</t>
  </si>
  <si>
    <t xml:space="preserve">	419.3115-408.0963</t>
  </si>
  <si>
    <t xml:space="preserve">	419.3115-407.4097</t>
  </si>
  <si>
    <t xml:space="preserve">	420.6848-410.3851</t>
  </si>
  <si>
    <t xml:space="preserve">	425.2625-410.8429</t>
  </si>
  <si>
    <t xml:space="preserve">	419.9982-408.5541</t>
  </si>
  <si>
    <t xml:space="preserve">	421.6003-409.2407</t>
  </si>
  <si>
    <t xml:space="preserve">	422.9736-410.3851</t>
  </si>
  <si>
    <t xml:space="preserve">	425.7202-415.1917</t>
  </si>
  <si>
    <t xml:space="preserve">	423.6603-412.2162</t>
  </si>
  <si>
    <t xml:space="preserve">	416.5649-418.8538</t>
  </si>
  <si>
    <t xml:space="preserve">	561.676-560.5316</t>
  </si>
  <si>
    <t xml:space="preserve">	608.3679-606.9946</t>
  </si>
  <si>
    <t xml:space="preserve">	617.0654-616.1499</t>
  </si>
  <si>
    <t xml:space="preserve">	416.7938-414.505</t>
  </si>
  <si>
    <t xml:space="preserve">	414.2761-413.1317</t>
  </si>
  <si>
    <t xml:space="preserve">	410.1563-409.9274</t>
  </si>
  <si>
    <t xml:space="preserve">	408.3252-406.2653</t>
  </si>
  <si>
    <t xml:space="preserve">	407.1808-404.6631</t>
  </si>
  <si>
    <t xml:space="preserve">	412.674-409.9274</t>
  </si>
  <si>
    <t xml:space="preserve">	411.7584-410.3851</t>
  </si>
  <si>
    <t xml:space="preserve">	411.7584-408.783</t>
  </si>
  <si>
    <t xml:space="preserve">	363.4644-364.3799</t>
  </si>
  <si>
    <t xml:space="preserve">	377.4261-376.5106</t>
  </si>
  <si>
    <t xml:space="preserve">	610.8856-610.199</t>
  </si>
  <si>
    <t xml:space="preserve">	617.981-619.1254</t>
  </si>
  <si>
    <t xml:space="preserve">	408.783-407.6385</t>
  </si>
  <si>
    <t xml:space="preserve">	618.8965-618.6676</t>
  </si>
  <si>
    <t xml:space="preserve">	619.3542-618.4387</t>
  </si>
  <si>
    <t xml:space="preserve">	611.1145-609.7412</t>
  </si>
  <si>
    <t xml:space="preserve">	414.0472-415.1917</t>
  </si>
  <si>
    <t xml:space="preserve">	410.8429-409.6985</t>
  </si>
  <si>
    <t xml:space="preserve">	413.5895-414.0472</t>
  </si>
  <si>
    <t xml:space="preserve">	414.0472-414.505</t>
  </si>
  <si>
    <t xml:space="preserve">	413.1317-413.5895</t>
  </si>
  <si>
    <t xml:space="preserve">	414.7339-414.0472</t>
  </si>
  <si>
    <t xml:space="preserve">	411.9873-412.9028</t>
  </si>
  <si>
    <t xml:space="preserve">	412.4451-413.1317</t>
  </si>
  <si>
    <t xml:space="preserve">	412.9028-413.8184</t>
  </si>
  <si>
    <t xml:space="preserve">	450.8972-451.5839</t>
  </si>
  <si>
    <t xml:space="preserve">	403.5187-402.832</t>
  </si>
  <si>
    <t xml:space="preserve">	407.8674-409.6985</t>
  </si>
  <si>
    <t xml:space="preserve">	404.892-406.0364</t>
  </si>
  <si>
    <t xml:space="preserve">	414.2761-425.7202</t>
  </si>
  <si>
    <t xml:space="preserve">	408.3252-409.2407</t>
  </si>
  <si>
    <t xml:space="preserve">	408.783-409.0118</t>
  </si>
  <si>
    <t xml:space="preserve">	422.7448-415.4205</t>
  </si>
  <si>
    <t xml:space="preserve">	425.9491-412.2162</t>
  </si>
  <si>
    <t xml:space="preserve">	419.3115-408.5541</t>
  </si>
  <si>
    <t xml:space="preserve">	424.118-410.3851</t>
  </si>
  <si>
    <t xml:space="preserve">	423.8892-411.9873</t>
  </si>
  <si>
    <t xml:space="preserve">	425.4913-413.3606</t>
  </si>
  <si>
    <t xml:space="preserve">	420.6848-408.5541</t>
  </si>
  <si>
    <t xml:space="preserve">	420.4559-410.1563</t>
  </si>
  <si>
    <t xml:space="preserve">	425.7202-414.505</t>
  </si>
  <si>
    <t xml:space="preserve">	408.783-406.2653</t>
  </si>
  <si>
    <t xml:space="preserve">	415.1917-415.4205</t>
  </si>
  <si>
    <t xml:space="preserve">	614.3188-613.4033</t>
  </si>
  <si>
    <t xml:space="preserve">	414.9628-413.5895</t>
  </si>
  <si>
    <t xml:space="preserve">	414.0472-411.9873</t>
  </si>
  <si>
    <t xml:space="preserve">	413.8184-411.7584</t>
  </si>
  <si>
    <t xml:space="preserve">	412.2162-410.3851</t>
  </si>
  <si>
    <t xml:space="preserve">	410.1563-408.0963</t>
  </si>
  <si>
    <t xml:space="preserve">	411.7584-408.5541</t>
  </si>
  <si>
    <t xml:space="preserve">	410.614-409.4696</t>
  </si>
  <si>
    <t xml:space="preserve">	407.4097-403.2898</t>
  </si>
  <si>
    <t xml:space="preserve">	406.4941-403.0609</t>
  </si>
  <si>
    <t xml:space="preserve">	414.9628-413.8184</t>
  </si>
  <si>
    <t xml:space="preserve">	416.7938-414.9628</t>
  </si>
  <si>
    <t xml:space="preserve">	419.5404-417.0227</t>
  </si>
  <si>
    <t xml:space="preserve">	346.2982-347.4426</t>
  </si>
  <si>
    <t xml:space="preserve">	367.1265-366.2109</t>
  </si>
  <si>
    <t xml:space="preserve">	609.5123-609.0546</t>
  </si>
  <si>
    <t xml:space="preserve">	616.6077-615.921</t>
  </si>
  <si>
    <t xml:space="preserve">	410.3851-409.0118</t>
  </si>
  <si>
    <t xml:space="preserve">	615.6921-614.5477</t>
  </si>
  <si>
    <t xml:space="preserve">	620.2698-618.4387</t>
  </si>
  <si>
    <t xml:space="preserve">	409.4696-408.0963</t>
  </si>
  <si>
    <t xml:space="preserve">	409.4696-408.3252</t>
  </si>
  <si>
    <t xml:space="preserve">	620.7275-620.2698</t>
  </si>
  <si>
    <t xml:space="preserve">	621.4142-620.4987</t>
  </si>
  <si>
    <t xml:space="preserve">	602.417-601.7303</t>
  </si>
  <si>
    <t xml:space="preserve">	413.1317-410.614</t>
  </si>
  <si>
    <t xml:space="preserve">	413.5895-413.8184</t>
  </si>
  <si>
    <t xml:space="preserve">	411.9873-413.5895</t>
  </si>
  <si>
    <t xml:space="preserve">	415.1917-415.6494</t>
  </si>
  <si>
    <t xml:space="preserve">	414.2761-412.674</t>
  </si>
  <si>
    <t xml:space="preserve">	414.7339-413.3606</t>
  </si>
  <si>
    <t xml:space="preserve">	411.0718-412.9028</t>
  </si>
  <si>
    <t xml:space="preserve">	463.2568-460.2814</t>
  </si>
  <si>
    <t xml:space="preserve">	406.9519-408.0963</t>
  </si>
  <si>
    <t xml:space="preserve">	405.8075-406.9519</t>
  </si>
  <si>
    <t xml:space="preserve">	410.3851-411.7584</t>
  </si>
  <si>
    <t xml:space="preserve">	410.1563-409.4696</t>
  </si>
  <si>
    <t xml:space="preserve">	409.4696-410.614</t>
  </si>
  <si>
    <t xml:space="preserve">	409.6985-411.7584</t>
  </si>
  <si>
    <t xml:space="preserve">	404.4342-402.832</t>
  </si>
  <si>
    <t xml:space="preserve">	418.396-416.7938</t>
  </si>
  <si>
    <t>22_9</t>
  </si>
  <si>
    <t xml:space="preserve">	2-14</t>
  </si>
  <si>
    <t xml:space="preserve">	414.7339-415.4205</t>
  </si>
  <si>
    <t xml:space="preserve">	413.1317-414.0472</t>
  </si>
  <si>
    <t xml:space="preserve">	408.5541-409.2407</t>
  </si>
  <si>
    <t xml:space="preserve">	408.3252-410.3851</t>
  </si>
  <si>
    <t xml:space="preserve">	416.3361-415.6494</t>
  </si>
  <si>
    <t xml:space="preserve">	416.3361-415.8783</t>
  </si>
  <si>
    <t xml:space="preserve">	559.6161-559.3872</t>
  </si>
  <si>
    <t xml:space="preserve">	605.8502-605.6213</t>
  </si>
  <si>
    <t xml:space="preserve">	606.0791-605.3925</t>
  </si>
  <si>
    <t xml:space="preserve">	614.7766-615.0055</t>
  </si>
  <si>
    <t xml:space="preserve">	416.3361-416.1072</t>
  </si>
  <si>
    <t xml:space="preserve">	416.7938-416.5649</t>
  </si>
  <si>
    <t xml:space="preserve">	408.0963-407.1808</t>
  </si>
  <si>
    <t xml:space="preserve">	409.4696-407.4097</t>
  </si>
  <si>
    <t xml:space="preserve">	354.0802-354.7668</t>
  </si>
  <si>
    <t xml:space="preserve">	371.2463-370.5597</t>
  </si>
  <si>
    <t xml:space="preserve">	608.8257-608.139</t>
  </si>
  <si>
    <t xml:space="preserve">	403.2898-403.9764</t>
  </si>
  <si>
    <t xml:space="preserve">	404.4342-404.2053</t>
  </si>
  <si>
    <t xml:space="preserve">	612.4878-612.03</t>
  </si>
  <si>
    <t xml:space="preserve">	402.6031-401.6876</t>
  </si>
  <si>
    <t xml:space="preserve">	615.921-616.6077</t>
  </si>
  <si>
    <t xml:space="preserve">	608.5968-608.139</t>
  </si>
  <si>
    <t xml:space="preserve">	609.0546-608.3679</t>
  </si>
  <si>
    <t xml:space="preserve">	400.3143-401.2299</t>
  </si>
  <si>
    <t xml:space="preserve">	413.8184-413.1317</t>
  </si>
  <si>
    <t xml:space="preserve">	413.1317-412.4451</t>
  </si>
  <si>
    <t xml:space="preserve">	413.8184-414.9628</t>
  </si>
  <si>
    <t xml:space="preserve">	1872.482-415.8783</t>
  </si>
  <si>
    <t xml:space="preserve">	416.3361-416.7938</t>
  </si>
  <si>
    <t xml:space="preserve">	414.9628-415.4205</t>
  </si>
  <si>
    <t xml:space="preserve">	414.9628-415.1917</t>
  </si>
  <si>
    <t xml:space="preserve">	413.8184-414.0472</t>
  </si>
  <si>
    <t xml:space="preserve">	449.7528-450.2106</t>
  </si>
  <si>
    <t xml:space="preserve">	411.0718-409.9274</t>
  </si>
  <si>
    <t xml:space="preserve">	414.505-415.1917</t>
  </si>
  <si>
    <t>23_12</t>
  </si>
  <si>
    <t xml:space="preserve">	415.8783-415.6494</t>
  </si>
  <si>
    <t xml:space="preserve">	411.5295-412.4451</t>
  </si>
  <si>
    <t xml:space="preserve">	415.1917-414.7339</t>
  </si>
  <si>
    <t xml:space="preserve">	413.8184-415.6494</t>
  </si>
  <si>
    <t xml:space="preserve">	412.9028-414.0472</t>
  </si>
  <si>
    <t xml:space="preserve">	412.4451-413.8184</t>
  </si>
  <si>
    <t xml:space="preserve">	415.6494-417.2516</t>
  </si>
  <si>
    <t xml:space="preserve">	561.676-560.3027</t>
  </si>
  <si>
    <t xml:space="preserve">	608.5968-606.9946</t>
  </si>
  <si>
    <t xml:space="preserve">	615.921-615.6921</t>
  </si>
  <si>
    <t xml:space="preserve">	415.6494-414.9628</t>
  </si>
  <si>
    <t xml:space="preserve">	411.9873-413.3606</t>
  </si>
  <si>
    <t xml:space="preserve">	414.9628-414.2761</t>
  </si>
  <si>
    <t xml:space="preserve">	420.9137-420.6848</t>
  </si>
  <si>
    <t xml:space="preserve">	422.5159-421.1426</t>
  </si>
  <si>
    <t xml:space="preserve">	419.5404-418.6249</t>
  </si>
  <si>
    <t xml:space="preserve">	418.396-419.0826</t>
  </si>
  <si>
    <t xml:space="preserve">	413.1317-412.2162</t>
  </si>
  <si>
    <t xml:space="preserve">	360.4889-355.4535</t>
  </si>
  <si>
    <t xml:space="preserve">	377.4261-370.7886</t>
  </si>
  <si>
    <t xml:space="preserve">	609.9701-609.5123</t>
  </si>
  <si>
    <t xml:space="preserve">	618.6676-617.5232</t>
  </si>
  <si>
    <t xml:space="preserve">	613.6322-613.8611</t>
  </si>
  <si>
    <t xml:space="preserve">	618.6676-619.1254</t>
  </si>
  <si>
    <t xml:space="preserve">	618.8965-617.5232</t>
  </si>
  <si>
    <t xml:space="preserve">	610.4279-609.9701</t>
  </si>
  <si>
    <t xml:space="preserve">	609.9701-609.2834</t>
  </si>
  <si>
    <t xml:space="preserve">	412.674-414.505</t>
  </si>
  <si>
    <t xml:space="preserve">	415.6494-416.3361</t>
  </si>
  <si>
    <t xml:space="preserve">	413.5895-414.7339</t>
  </si>
  <si>
    <t xml:space="preserve">	413.5895-412.4451</t>
  </si>
  <si>
    <t xml:space="preserve">	413.3606-414.9628</t>
  </si>
  <si>
    <t xml:space="preserve">	412.4451-413.5895</t>
  </si>
  <si>
    <t xml:space="preserve">	407.1808-409.9274</t>
  </si>
  <si>
    <t xml:space="preserve">	446.3196-447.2351</t>
  </si>
  <si>
    <t xml:space="preserve">	400.5432-399.1699</t>
  </si>
  <si>
    <t xml:space="preserve">	409.0118-410.1563</t>
  </si>
  <si>
    <t xml:space="preserve">	408.3252-409.9274</t>
  </si>
  <si>
    <t xml:space="preserve">	406.9519-409.0118</t>
  </si>
  <si>
    <t xml:space="preserve">	406.0364-407.1808</t>
  </si>
  <si>
    <t xml:space="preserve">	412.9028-420.2271</t>
  </si>
  <si>
    <t xml:space="preserve">	402.3743-403.7476</t>
  </si>
  <si>
    <t xml:space="preserve">	411.5295-415.1917</t>
  </si>
  <si>
    <t xml:space="preserve">	412.9028-417.2516</t>
  </si>
  <si>
    <t xml:space="preserve">	414.505-413.8184</t>
  </si>
  <si>
    <t xml:space="preserve">	414.505-415.8783</t>
  </si>
  <si>
    <t xml:space="preserve">	408.0963-410.1563</t>
  </si>
  <si>
    <t xml:space="preserve">	413.5895-414.505</t>
  </si>
  <si>
    <t xml:space="preserve">	606.7657-605.6213</t>
  </si>
  <si>
    <t xml:space="preserve">	614.3188-613.8611</t>
  </si>
  <si>
    <t xml:space="preserve">	416.7938-416.3361</t>
  </si>
  <si>
    <t xml:space="preserve">	417.4805-417.0227</t>
  </si>
  <si>
    <t xml:space="preserve">	411.7584-410.8429</t>
  </si>
  <si>
    <t xml:space="preserve">	417.4805-416.1072</t>
  </si>
  <si>
    <t xml:space="preserve">	419.9982-418.6249</t>
  </si>
  <si>
    <t xml:space="preserve">	421.1426-420.9137</t>
  </si>
  <si>
    <t xml:space="preserve">	420.9137-420.4559</t>
  </si>
  <si>
    <t xml:space="preserve">	414.2761-413.3606</t>
  </si>
  <si>
    <t xml:space="preserve">	414.9628-414.505</t>
  </si>
  <si>
    <t xml:space="preserve">	413.5895-421.1426</t>
  </si>
  <si>
    <t xml:space="preserve">	414.0472-412.2162</t>
  </si>
  <si>
    <t xml:space="preserve">	344.696-338.7451</t>
  </si>
  <si>
    <t xml:space="preserve">	367.5842-361.1755</t>
  </si>
  <si>
    <t xml:space="preserve">	609.5123-609.7412</t>
  </si>
  <si>
    <t xml:space="preserve">	615.4633-614.3188</t>
  </si>
  <si>
    <t xml:space="preserve">	621.1853-621.6431</t>
  </si>
  <si>
    <t xml:space="preserve">	407.4097-405.8075</t>
  </si>
  <si>
    <t xml:space="preserve">	408.3252-406.4941</t>
  </si>
  <si>
    <t xml:space="preserve">	407.1808-405.5786</t>
  </si>
  <si>
    <t xml:space="preserve">	619.1254-618.8965</t>
  </si>
  <si>
    <t xml:space="preserve">	612.4878-610.6567</t>
  </si>
  <si>
    <t xml:space="preserve">	409.9274-411.3007</t>
  </si>
  <si>
    <t xml:space="preserve">	408.5541-410.614</t>
  </si>
  <si>
    <t xml:space="preserve">	414.7339-414.9628</t>
  </si>
  <si>
    <t xml:space="preserve">	456.8481-454.3304</t>
  </si>
  <si>
    <t xml:space="preserve">	408.5541-409.9274</t>
  </si>
  <si>
    <t xml:space="preserve">	403.9764-405.5786</t>
  </si>
  <si>
    <t xml:space="preserve">	403.7476-405.1208</t>
  </si>
  <si>
    <t xml:space="preserve">	409.4696-411.5295</t>
  </si>
  <si>
    <t>23_9</t>
  </si>
  <si>
    <t xml:space="preserve">	415.8783-416.5649</t>
  </si>
  <si>
    <t xml:space="preserve">	414.0472-412.9028</t>
  </si>
  <si>
    <t xml:space="preserve">	560.3027-560.5316</t>
  </si>
  <si>
    <t xml:space="preserve">	607.2235-605.8502</t>
  </si>
  <si>
    <t xml:space="preserve">	607.4524-608.139</t>
  </si>
  <si>
    <t xml:space="preserve">	421.1426-421.6003</t>
  </si>
  <si>
    <t xml:space="preserve">	418.6249-418.1671</t>
  </si>
  <si>
    <t xml:space="preserve">	418.396-418.1671</t>
  </si>
  <si>
    <t xml:space="preserve">	358.8867-359.3445</t>
  </si>
  <si>
    <t xml:space="preserve">	374.2218-373.5352</t>
  </si>
  <si>
    <t xml:space="preserve">	617.5232-617.981</t>
  </si>
  <si>
    <t xml:space="preserve">	611.5723-611.3434</t>
  </si>
  <si>
    <t xml:space="preserve">	405.8075-404.4342</t>
  </si>
  <si>
    <t xml:space="preserve">	616.8365-617.2943</t>
  </si>
  <si>
    <t xml:space="preserve">	608.8257-609.0546</t>
  </si>
  <si>
    <t xml:space="preserve">	400.0854-399.8566</t>
  </si>
  <si>
    <t xml:space="preserve">	1872.025-410.3851</t>
  </si>
  <si>
    <t xml:space="preserve">	417.2516-417.4805</t>
  </si>
  <si>
    <t xml:space="preserve">	414.0472-414.2761</t>
  </si>
  <si>
    <t xml:space="preserve">	451.5839-452.9572</t>
  </si>
  <si>
    <t xml:space="preserve">	405.3497-405.8075</t>
  </si>
  <si>
    <t>24_9</t>
  </si>
  <si>
    <t xml:space="preserve">	420.4559-421.6003</t>
  </si>
  <si>
    <t xml:space="preserve">	420.2271-419.7693</t>
  </si>
  <si>
    <t xml:space="preserve">	418.8538-418.1671</t>
  </si>
  <si>
    <t xml:space="preserve">	415.6494-415.1917</t>
  </si>
  <si>
    <t xml:space="preserve">	420.9137-422.0581</t>
  </si>
  <si>
    <t xml:space="preserve">	560.5316-560.7605</t>
  </si>
  <si>
    <t xml:space="preserve">	606.5369-605.8502</t>
  </si>
  <si>
    <t xml:space="preserve">	414.0472-414.9628</t>
  </si>
  <si>
    <t xml:space="preserve">	414.0472-413.8184</t>
  </si>
  <si>
    <t xml:space="preserve">	415.1917-414.505</t>
  </si>
  <si>
    <t xml:space="preserve">	416.5649-414.7339</t>
  </si>
  <si>
    <t xml:space="preserve">	362.0911-362.7777</t>
  </si>
  <si>
    <t xml:space="preserve">	374.9084-375.1373</t>
  </si>
  <si>
    <t xml:space="preserve">	608.139-608.8257</t>
  </si>
  <si>
    <t xml:space="preserve">	612.2589-611.8011</t>
  </si>
  <si>
    <t xml:space="preserve">	617.7521-617.5232</t>
  </si>
  <si>
    <t xml:space="preserve">	617.981-617.2943</t>
  </si>
  <si>
    <t xml:space="preserve">	609.2834-608.8257</t>
  </si>
  <si>
    <t xml:space="preserve">	1872.482-408.783</t>
  </si>
  <si>
    <t xml:space="preserve">	408.0963-409.0118</t>
  </si>
  <si>
    <t xml:space="preserve">	418.6249-419.7693</t>
  </si>
  <si>
    <t xml:space="preserve">	415.6494-415.8783</t>
  </si>
  <si>
    <t xml:space="preserve">	454.1016-454.7882</t>
  </si>
  <si>
    <t xml:space="preserve">	414.505-415.6494</t>
  </si>
  <si>
    <t xml:space="preserve">	414.0472-414.7339</t>
  </si>
  <si>
    <t xml:space="preserve">	417.0227-417.4805</t>
  </si>
  <si>
    <t xml:space="preserve">	418.6249-418.396</t>
  </si>
  <si>
    <t xml:space="preserve">	419.7693-420.2271</t>
  </si>
  <si>
    <t xml:space="preserve">	418.1671-418.8538</t>
  </si>
  <si>
    <t xml:space="preserve">	419.7693-420.6848</t>
  </si>
  <si>
    <t>25_13</t>
  </si>
  <si>
    <t xml:space="preserve">	425.2625-425.9491</t>
  </si>
  <si>
    <t xml:space="preserve">	418.8538-419.0826</t>
  </si>
  <si>
    <t xml:space="preserve">	419.5404-423.8892</t>
  </si>
  <si>
    <t xml:space="preserve">	416.3361-417.2516</t>
  </si>
  <si>
    <t xml:space="preserve">	425.7202-418.8538</t>
  </si>
  <si>
    <t xml:space="preserve">	428.009-421.1426</t>
  </si>
  <si>
    <t xml:space="preserve">	425.7202-418.396</t>
  </si>
  <si>
    <t xml:space="preserve">	422.9736-415.8783</t>
  </si>
  <si>
    <t xml:space="preserve">	422.287-414.505</t>
  </si>
  <si>
    <t xml:space="preserve">	425.0336-419.0826</t>
  </si>
  <si>
    <t xml:space="preserve">	423.2025-417.0227</t>
  </si>
  <si>
    <t xml:space="preserve">	426.6357-423.8892</t>
  </si>
  <si>
    <t xml:space="preserve">	414.0472-415.6494</t>
  </si>
  <si>
    <t xml:space="preserve">	419.9982-419.0826</t>
  </si>
  <si>
    <t xml:space="preserve">	420.9137-420.2271</t>
  </si>
  <si>
    <t xml:space="preserve">	418.1671-419.0826</t>
  </si>
  <si>
    <t xml:space="preserve">	415.4205-416.7938</t>
  </si>
  <si>
    <t xml:space="preserve">	566.4825-565.567</t>
  </si>
  <si>
    <t xml:space="preserve">	610.199-609.0546</t>
  </si>
  <si>
    <t xml:space="preserve">	619.5831-619.3542</t>
  </si>
  <si>
    <t xml:space="preserve">	421.6003-422.0581</t>
  </si>
  <si>
    <t xml:space="preserve">	420.6848-420.2271</t>
  </si>
  <si>
    <t xml:space="preserve">	417.4805-418.8538</t>
  </si>
  <si>
    <t xml:space="preserve">	417.2516-416.1072</t>
  </si>
  <si>
    <t xml:space="preserve">	417.4805-416.7938</t>
  </si>
  <si>
    <t xml:space="preserve">	415.8783-414.505</t>
  </si>
  <si>
    <t xml:space="preserve">	417.4805-416.5649</t>
  </si>
  <si>
    <t xml:space="preserve">	417.0227-417.2516</t>
  </si>
  <si>
    <t xml:space="preserve">	416.7938-415.1917</t>
  </si>
  <si>
    <t xml:space="preserve">	416.3361-414.2761</t>
  </si>
  <si>
    <t xml:space="preserve">	371.7041-369.1864</t>
  </si>
  <si>
    <t xml:space="preserve">	388.1836-384.7504</t>
  </si>
  <si>
    <t xml:space="preserve">	612.4878-612.7167</t>
  </si>
  <si>
    <t xml:space="preserve">	619.1254-620.2698</t>
  </si>
  <si>
    <t xml:space="preserve">	413.8184-413.5895</t>
  </si>
  <si>
    <t xml:space="preserve">	615.6921-616.1499</t>
  </si>
  <si>
    <t xml:space="preserve">	414.7339-414.2761</t>
  </si>
  <si>
    <t xml:space="preserve">	414.0472-415.8783</t>
  </si>
  <si>
    <t xml:space="preserve">	620.4987-622.1008</t>
  </si>
  <si>
    <t xml:space="preserve">	620.9564-620.0409</t>
  </si>
  <si>
    <t xml:space="preserve">	612.4878-612.9456</t>
  </si>
  <si>
    <t xml:space="preserve">	612.9456-612.2589</t>
  </si>
  <si>
    <t xml:space="preserve">	422.5159-422.9736</t>
  </si>
  <si>
    <t xml:space="preserve">	422.9736-423.6603</t>
  </si>
  <si>
    <t xml:space="preserve">	420.4559-420.9137</t>
  </si>
  <si>
    <t xml:space="preserve">	420.9137-421.3715</t>
  </si>
  <si>
    <t xml:space="preserve">	423.2025-424.118</t>
  </si>
  <si>
    <t xml:space="preserve">	426.8646-428.9246</t>
  </si>
  <si>
    <t xml:space="preserve">	423.6603-425.7202</t>
  </si>
  <si>
    <t xml:space="preserve">	423.6603-423.2025</t>
  </si>
  <si>
    <t xml:space="preserve">	423.2025-425.0336</t>
  </si>
  <si>
    <t xml:space="preserve">	422.7448-426.178</t>
  </si>
  <si>
    <t xml:space="preserve">	420.4559-420.6848</t>
  </si>
  <si>
    <t xml:space="preserve">	424.3469-425.7202</t>
  </si>
  <si>
    <t xml:space="preserve">	423.4314-423.8892</t>
  </si>
  <si>
    <t xml:space="preserve">	422.7448-423.6603</t>
  </si>
  <si>
    <t xml:space="preserve">	416.1072-416.7938</t>
  </si>
  <si>
    <t xml:space="preserve">	419.5404-420.2271</t>
  </si>
  <si>
    <t xml:space="preserve">	418.6249-418.8538</t>
  </si>
  <si>
    <t xml:space="preserve">	419.3115-419.9982</t>
  </si>
  <si>
    <t xml:space="preserve">	417.2516-417.7094</t>
  </si>
  <si>
    <t xml:space="preserve">	417.9382-418.6249</t>
  </si>
  <si>
    <t xml:space="preserve">	413.5895-414.9628</t>
  </si>
  <si>
    <t xml:space="preserve">	416.3361-416.5649</t>
  </si>
  <si>
    <t xml:space="preserve">	418.8538-419.3115</t>
  </si>
  <si>
    <t xml:space="preserve">	420.2271-420.6848</t>
  </si>
  <si>
    <t xml:space="preserve">	418.6249-419.3115</t>
  </si>
  <si>
    <t xml:space="preserve">	417.0227-418.396</t>
  </si>
  <si>
    <t xml:space="preserve">	421.3715-419.3115</t>
  </si>
  <si>
    <t xml:space="preserve">	419.5404-432.3578</t>
  </si>
  <si>
    <t xml:space="preserve">	416.1072-417.0227</t>
  </si>
  <si>
    <t xml:space="preserve">	417.9382-419.3115</t>
  </si>
  <si>
    <t xml:space="preserve">	419.3115-421.1426</t>
  </si>
  <si>
    <t xml:space="preserve">	426.178-421.3715</t>
  </si>
  <si>
    <t xml:space="preserve">	428.2379-421.3715</t>
  </si>
  <si>
    <t xml:space="preserve">	426.8646-418.6249</t>
  </si>
  <si>
    <t xml:space="preserve">	423.2025-416.7938</t>
  </si>
  <si>
    <t xml:space="preserve">	425.4913-419.9982</t>
  </si>
  <si>
    <t xml:space="preserve">	424.8047-417.2516</t>
  </si>
  <si>
    <t xml:space="preserve">	424.8047-418.1671</t>
  </si>
  <si>
    <t xml:space="preserve">	426.6357-425.2625</t>
  </si>
  <si>
    <t xml:space="preserve">	414.9628-416.3361</t>
  </si>
  <si>
    <t xml:space="preserve">	417.2516-418.1671</t>
  </si>
  <si>
    <t xml:space="preserve">	417.9382-419.0826</t>
  </si>
  <si>
    <t xml:space="preserve">	416.3361-418.1671</t>
  </si>
  <si>
    <t xml:space="preserve">	418.396-419.5404</t>
  </si>
  <si>
    <t xml:space="preserve">	419.5404-420.4559</t>
  </si>
  <si>
    <t xml:space="preserve">	608.3679-607.9102</t>
  </si>
  <si>
    <t xml:space="preserve">	609.0546-607.6813</t>
  </si>
  <si>
    <t xml:space="preserve">	615.6921-615.4633</t>
  </si>
  <si>
    <t xml:space="preserve">	420.9137-419.9982</t>
  </si>
  <si>
    <t xml:space="preserve">	421.1426-420.4559</t>
  </si>
  <si>
    <t xml:space="preserve">	422.287-421.6003</t>
  </si>
  <si>
    <t xml:space="preserve">	415.8783-414.9628</t>
  </si>
  <si>
    <t xml:space="preserve">	416.1072-415.1917</t>
  </si>
  <si>
    <t xml:space="preserve">	417.7094-417.0227</t>
  </si>
  <si>
    <t xml:space="preserve">	416.7938-415.6494</t>
  </si>
  <si>
    <t xml:space="preserve">	417.7094-416.7938</t>
  </si>
  <si>
    <t xml:space="preserve">	421.1426-416.5649</t>
  </si>
  <si>
    <t xml:space="preserve">	416.1072-414.9628</t>
  </si>
  <si>
    <t xml:space="preserve">	417.7094-417.2516</t>
  </si>
  <si>
    <t xml:space="preserve">	417.4805-415.6494</t>
  </si>
  <si>
    <t xml:space="preserve">	409.9274-406.9519</t>
  </si>
  <si>
    <t xml:space="preserve">	408.0963-404.892</t>
  </si>
  <si>
    <t xml:space="preserve">	417.4805-414.7339</t>
  </si>
  <si>
    <t xml:space="preserve">	417.0227-414.7339</t>
  </si>
  <si>
    <t xml:space="preserve">	353.8513-352.0203</t>
  </si>
  <si>
    <t xml:space="preserve">	376.9684-373.9929</t>
  </si>
  <si>
    <t xml:space="preserve">	610.8856-612.03</t>
  </si>
  <si>
    <t xml:space="preserve">	621.1853-620.7275</t>
  </si>
  <si>
    <t xml:space="preserve">	415.4205-414.9628</t>
  </si>
  <si>
    <t xml:space="preserve">	621.6431-622.1008</t>
  </si>
  <si>
    <t xml:space="preserve">	623.703-625.9918</t>
  </si>
  <si>
    <t xml:space="preserve">	614.09-613.8611</t>
  </si>
  <si>
    <t xml:space="preserve">	604.248-605.8502</t>
  </si>
  <si>
    <t xml:space="preserve">	422.287-420.9137</t>
  </si>
  <si>
    <t xml:space="preserve">	423.8892-424.118</t>
  </si>
  <si>
    <t xml:space="preserve">	422.287-422.9736</t>
  </si>
  <si>
    <t xml:space="preserve">	421.3715-424.8047</t>
  </si>
  <si>
    <t xml:space="preserve">	420.2271-420.4559</t>
  </si>
  <si>
    <t xml:space="preserve">	423.2025-423.8892</t>
  </si>
  <si>
    <t xml:space="preserve">	421.1426-421.3715</t>
  </si>
  <si>
    <t xml:space="preserve">	424.3469-426.6357</t>
  </si>
  <si>
    <t xml:space="preserve">	422.0581-422.287</t>
  </si>
  <si>
    <t xml:space="preserve">	423.4314-426.4069</t>
  </si>
  <si>
    <t xml:space="preserve">	423.6603-423.8892</t>
  </si>
  <si>
    <t xml:space="preserve">	419.5404-421.3715</t>
  </si>
  <si>
    <t xml:space="preserve">	417.9382-417.4805</t>
  </si>
  <si>
    <t xml:space="preserve">	416.3361-417.4805</t>
  </si>
  <si>
    <t xml:space="preserve">	470.1233-468.0634</t>
  </si>
  <si>
    <t xml:space="preserve">	418.8538-418.6249</t>
  </si>
  <si>
    <t xml:space="preserve">	418.396-418.8538</t>
  </si>
  <si>
    <t xml:space="preserve">	420.9137-422.287</t>
  </si>
  <si>
    <t xml:space="preserve">	415.4205-416.3361</t>
  </si>
  <si>
    <t xml:space="preserve">	415.6494-416.1072</t>
  </si>
  <si>
    <t xml:space="preserve">	415.8783-417.2516</t>
  </si>
  <si>
    <t xml:space="preserve">	420.4559-421.3715</t>
  </si>
  <si>
    <t xml:space="preserve">	419.9982-421.3715</t>
  </si>
  <si>
    <t xml:space="preserve">	417.2516-418.396</t>
  </si>
  <si>
    <t xml:space="preserve">	418.8538-419.7693</t>
  </si>
  <si>
    <t xml:space="preserve">	419.0826-419.3115</t>
  </si>
  <si>
    <t xml:space="preserve">	417.4805-419.0826</t>
  </si>
  <si>
    <t xml:space="preserve">	419.3115-417.7094</t>
  </si>
  <si>
    <t>25_9</t>
  </si>
  <si>
    <t xml:space="preserve">	422.0581-422.9736</t>
  </si>
  <si>
    <t xml:space="preserve">	417.7094-418.6249</t>
  </si>
  <si>
    <t xml:space="preserve">	417.2516-416.7938</t>
  </si>
  <si>
    <t xml:space="preserve">	418.1671-418.6249</t>
  </si>
  <si>
    <t xml:space="preserve">	419.0826-419.5404</t>
  </si>
  <si>
    <t xml:space="preserve">	415.8783-416.7938</t>
  </si>
  <si>
    <t xml:space="preserve">	414.7339-415.1917</t>
  </si>
  <si>
    <t xml:space="preserve">	562.1338-560.7605</t>
  </si>
  <si>
    <t xml:space="preserve">	606.308-606.0791</t>
  </si>
  <si>
    <t xml:space="preserve">	606.308-606.5369</t>
  </si>
  <si>
    <t xml:space="preserve">	416.5649-415.8783</t>
  </si>
  <si>
    <t xml:space="preserve">	415.8783-416.1072</t>
  </si>
  <si>
    <t xml:space="preserve">	417.7094-417.4805</t>
  </si>
  <si>
    <t xml:space="preserve">	419.9982-420.2271</t>
  </si>
  <si>
    <t xml:space="preserve">	420.6848-419.3115</t>
  </si>
  <si>
    <t xml:space="preserve">	418.6249-419.5404</t>
  </si>
  <si>
    <t xml:space="preserve">	417.2516-415.6494</t>
  </si>
  <si>
    <t xml:space="preserve">	361.6333-362.0911</t>
  </si>
  <si>
    <t xml:space="preserve">	377.4261-376.2817</t>
  </si>
  <si>
    <t xml:space="preserve">	609.2834-609.0546</t>
  </si>
  <si>
    <t xml:space="preserve">	407.8674-406.723</t>
  </si>
  <si>
    <t xml:space="preserve">	618.2098-617.981</t>
  </si>
  <si>
    <t xml:space="preserve">	609.2834-610.199</t>
  </si>
  <si>
    <t xml:space="preserve">	404.2053-404.4342</t>
  </si>
  <si>
    <t xml:space="preserve">	416.5649-417.4805</t>
  </si>
  <si>
    <t xml:space="preserve">	1872.482-419.5404</t>
  </si>
  <si>
    <t xml:space="preserve">	420.2271-419.5404</t>
  </si>
  <si>
    <t xml:space="preserve">	420.6848-421.8292</t>
  </si>
  <si>
    <t xml:space="preserve">	422.7448-423.2025</t>
  </si>
  <si>
    <t xml:space="preserve">	423.4314-424.118</t>
  </si>
  <si>
    <t xml:space="preserve">	421.8292-422.0581</t>
  </si>
  <si>
    <t xml:space="preserve">	422.0581-422.5159</t>
  </si>
  <si>
    <t xml:space="preserve">	422.0581-422.7448</t>
  </si>
  <si>
    <t xml:space="preserve">	420.6848-419.9982</t>
  </si>
  <si>
    <t xml:space="preserve">	457.7637-458.2214</t>
  </si>
  <si>
    <t xml:space="preserve">	416.5649-416.7938</t>
  </si>
  <si>
    <t xml:space="preserve">	420.9137-421.8292</t>
  </si>
  <si>
    <t xml:space="preserve">	420.2271-421.1426</t>
  </si>
  <si>
    <t xml:space="preserve">	415.4205-416.5649</t>
  </si>
  <si>
    <t xml:space="preserve">	418.396-418.6249</t>
  </si>
  <si>
    <t>3_9</t>
  </si>
  <si>
    <t xml:space="preserve">	406.4941-405.5786</t>
  </si>
  <si>
    <t xml:space="preserve">	557.3273-555.954</t>
  </si>
  <si>
    <t xml:space="preserve">	604.7058-603.5614</t>
  </si>
  <si>
    <t xml:space="preserve">	613.8611-614.3188</t>
  </si>
  <si>
    <t xml:space="preserve">	404.892-402.832</t>
  </si>
  <si>
    <t xml:space="preserve">	351.5625-352.2491</t>
  </si>
  <si>
    <t xml:space="preserve">	367.3553-368.2709</t>
  </si>
  <si>
    <t xml:space="preserve">	606.9946-607.2235</t>
  </si>
  <si>
    <t xml:space="preserve">	615.0055-615.2344</t>
  </si>
  <si>
    <t xml:space="preserve">	401.4587-401.6876</t>
  </si>
  <si>
    <t xml:space="preserve">	611.1145-611.3434</t>
  </si>
  <si>
    <t xml:space="preserve">	399.8566-400.0854</t>
  </si>
  <si>
    <t xml:space="preserve">	616.6077-615.4633</t>
  </si>
  <si>
    <t xml:space="preserve">	607.9102-607.4524</t>
  </si>
  <si>
    <t xml:space="preserve">	397.5677-398.2544</t>
  </si>
  <si>
    <t xml:space="preserve">	404.4342-405.1208</t>
  </si>
  <si>
    <t xml:space="preserve">	441.2842-442.1997</t>
  </si>
  <si>
    <t xml:space="preserve">	396.6522-395.7367</t>
  </si>
  <si>
    <t xml:space="preserve">	403.0609-403.7476</t>
  </si>
  <si>
    <t xml:space="preserve">	397.7966-396.4233</t>
  </si>
  <si>
    <t xml:space="preserve">	398.4833-398.2544</t>
  </si>
  <si>
    <t xml:space="preserve">	402.832-403.9764</t>
  </si>
  <si>
    <t xml:space="preserve">	401.6876-401.4587</t>
  </si>
  <si>
    <t xml:space="preserve">	398.0255-397.7966</t>
  </si>
  <si>
    <t xml:space="preserve">	404.2053-405.3497</t>
  </si>
  <si>
    <t xml:space="preserve">	603.3325-602.8748</t>
  </si>
  <si>
    <t xml:space="preserve">	603.1036-602.8748</t>
  </si>
  <si>
    <t xml:space="preserve">	611.8011-611.1145</t>
  </si>
  <si>
    <t xml:space="preserve">	412.9028-412.674</t>
  </si>
  <si>
    <t xml:space="preserve">	397.5677-397.3389</t>
  </si>
  <si>
    <t xml:space="preserve">	397.3389-397.11</t>
  </si>
  <si>
    <t xml:space="preserve">	406.4941-404.6631</t>
  </si>
  <si>
    <t xml:space="preserve">	336.4563-336.6852</t>
  </si>
  <si>
    <t xml:space="preserve">	358.429-358.6578</t>
  </si>
  <si>
    <t xml:space="preserve">	605.3925-606.5369</t>
  </si>
  <si>
    <t xml:space="preserve">	613.6322-612.9456</t>
  </si>
  <si>
    <t xml:space="preserve">	617.2943-615.921</t>
  </si>
  <si>
    <t xml:space="preserve">	617.2943-617.981</t>
  </si>
  <si>
    <t xml:space="preserve">	618.4387-617.5232</t>
  </si>
  <si>
    <t xml:space="preserve">	597.1527-596.6949</t>
  </si>
  <si>
    <t xml:space="preserve">	408.783-410.1563</t>
  </si>
  <si>
    <t xml:space="preserve">	453.186-450.6683</t>
  </si>
  <si>
    <t xml:space="preserve">	399.8566-400.7721</t>
  </si>
  <si>
    <t xml:space="preserve">	398.941-399.8566</t>
  </si>
  <si>
    <t xml:space="preserve">	399.3988-400.7721</t>
  </si>
  <si>
    <t xml:space="preserve">	401.4587-402.3743</t>
  </si>
  <si>
    <t xml:space="preserve">	399.3988-400.0854</t>
  </si>
  <si>
    <t xml:space="preserve">	391.8457-392.5323</t>
  </si>
  <si>
    <t xml:space="preserve">	405.3497-406.723</t>
  </si>
  <si>
    <t>5_13</t>
  </si>
  <si>
    <t xml:space="preserve">	419.0826-417.4805</t>
  </si>
  <si>
    <t xml:space="preserve">	408.3252-406.9519</t>
  </si>
  <si>
    <t xml:space="preserve">	407.6385-405.8075</t>
  </si>
  <si>
    <t xml:space="preserve">	407.4097-404.6631</t>
  </si>
  <si>
    <t xml:space="preserve">	407.4097-406.4941</t>
  </si>
  <si>
    <t xml:space="preserve">	403.9764-401.9165</t>
  </si>
  <si>
    <t xml:space="preserve">	405.1208-404.4342</t>
  </si>
  <si>
    <t xml:space="preserve">	407.1808-405.3497</t>
  </si>
  <si>
    <t xml:space="preserve">	402.3743-401.9165</t>
  </si>
  <si>
    <t xml:space="preserve">	562.3627-560.7605</t>
  </si>
  <si>
    <t xml:space="preserve">	608.5968-606.5369</t>
  </si>
  <si>
    <t xml:space="preserve">	607.4524-606.5369</t>
  </si>
  <si>
    <t xml:space="preserve">	616.6077-616.3788</t>
  </si>
  <si>
    <t xml:space="preserve">	411.0718-409.4696</t>
  </si>
  <si>
    <t xml:space="preserve">	407.4097-404.892</t>
  </si>
  <si>
    <t xml:space="preserve">	406.4941-403.7476</t>
  </si>
  <si>
    <t xml:space="preserve">	408.0963-403.5187</t>
  </si>
  <si>
    <t xml:space="preserve">	356.8268-351.7914</t>
  </si>
  <si>
    <t xml:space="preserve">	376.7395-370.1019</t>
  </si>
  <si>
    <t xml:space="preserve">	609.9701-608.8257</t>
  </si>
  <si>
    <t xml:space="preserve">	617.5232-616.6077</t>
  </si>
  <si>
    <t xml:space="preserve">	409.0118-407.4097</t>
  </si>
  <si>
    <t xml:space="preserve">	613.6322-612.4878</t>
  </si>
  <si>
    <t xml:space="preserve">	619.1254-617.5232</t>
  </si>
  <si>
    <t xml:space="preserve">	610.6567-609.0546</t>
  </si>
  <si>
    <t xml:space="preserve">	610.199-609.5123</t>
  </si>
  <si>
    <t xml:space="preserve">	414.7339-411.9873</t>
  </si>
  <si>
    <t xml:space="preserve">	414.2761-413.5895</t>
  </si>
  <si>
    <t xml:space="preserve">	412.2162-411.7584</t>
  </si>
  <si>
    <t xml:space="preserve">	448.6084-448.1506</t>
  </si>
  <si>
    <t xml:space="preserve">	399.1699-398.4833</t>
  </si>
  <si>
    <t xml:space="preserve">	408.5541-403.2898</t>
  </si>
  <si>
    <t xml:space="preserve">	409.9274-408.5541</t>
  </si>
  <si>
    <t xml:space="preserve">	401.001-397.7966</t>
  </si>
  <si>
    <t xml:space="preserve">	406.0364-404.4342</t>
  </si>
  <si>
    <t xml:space="preserve">	407.1808-405.8075</t>
  </si>
  <si>
    <t xml:space="preserve">	407.4097-405.3497</t>
  </si>
  <si>
    <t xml:space="preserve">	407.6385-405.3497</t>
  </si>
  <si>
    <t xml:space="preserve">	405.5786-403.5187</t>
  </si>
  <si>
    <t xml:space="preserve">	406.0364-403.7476</t>
  </si>
  <si>
    <t xml:space="preserve">	401.9165-401.2299</t>
  </si>
  <si>
    <t xml:space="preserve">	407.6385-406.2653</t>
  </si>
  <si>
    <t xml:space="preserve">	606.7657-604.7058</t>
  </si>
  <si>
    <t xml:space="preserve">	606.0791-604.9347</t>
  </si>
  <si>
    <t xml:space="preserve">	615.0055-612.7167</t>
  </si>
  <si>
    <t xml:space="preserve">	405.5786-402.1454</t>
  </si>
  <si>
    <t xml:space="preserve">	404.4342-398.0255</t>
  </si>
  <si>
    <t xml:space="preserve">	402.832-397.3389</t>
  </si>
  <si>
    <t xml:space="preserve">	406.9519-403.5187</t>
  </si>
  <si>
    <t xml:space="preserve">	408.5541-403.7476</t>
  </si>
  <si>
    <t xml:space="preserve">	409.4696-403.9764</t>
  </si>
  <si>
    <t xml:space="preserve">	341.4917-335.9985</t>
  </si>
  <si>
    <t xml:space="preserve">	366.4398-360.7178</t>
  </si>
  <si>
    <t xml:space="preserve">	616.8365-615.2344</t>
  </si>
  <si>
    <t xml:space="preserve">	616.6077-614.3188</t>
  </si>
  <si>
    <t xml:space="preserve">	621.4142-617.5232</t>
  </si>
  <si>
    <t xml:space="preserve">	410.1563-407.8674</t>
  </si>
  <si>
    <t xml:space="preserve">	410.614-409.2407</t>
  </si>
  <si>
    <t xml:space="preserve">	620.9564-618.8965</t>
  </si>
  <si>
    <t xml:space="preserve">	612.4878-611.1145</t>
  </si>
  <si>
    <t xml:space="preserve">	602.8748-600.1282</t>
  </si>
  <si>
    <t xml:space="preserve">	409.9274-409.0118</t>
  </si>
  <si>
    <t xml:space="preserve">	414.7339-413.5895</t>
  </si>
  <si>
    <t xml:space="preserve">	408.0963-406.9519</t>
  </si>
  <si>
    <t xml:space="preserve">	454.5593-451.8127</t>
  </si>
  <si>
    <t xml:space="preserve">	403.5187-402.6031</t>
  </si>
  <si>
    <t xml:space="preserve">	401.9165-401.001</t>
  </si>
  <si>
    <t xml:space="preserve">	400.3143-400.7721</t>
  </si>
  <si>
    <t xml:space="preserve">	401.6876-391.6168</t>
  </si>
  <si>
    <t xml:space="preserve">	409.4696-402.6031</t>
  </si>
  <si>
    <t>6_2</t>
  </si>
  <si>
    <t xml:space="preserve">	417.0227-415.4205</t>
  </si>
  <si>
    <t xml:space="preserve">	413.1317-411.7584</t>
  </si>
  <si>
    <t xml:space="preserve">	559.3872-558.9294</t>
  </si>
  <si>
    <t xml:space="preserve">	606.5369-605.1636</t>
  </si>
  <si>
    <t xml:space="preserve">	614.3188-614.5477</t>
  </si>
  <si>
    <t xml:space="preserve">	404.4342-406.4941</t>
  </si>
  <si>
    <t xml:space="preserve">	357.5134-357.2845</t>
  </si>
  <si>
    <t xml:space="preserve">	616.6077-617.2943</t>
  </si>
  <si>
    <t xml:space="preserve">	619.812-617.981</t>
  </si>
  <si>
    <t xml:space="preserve">	408.3252-410.8429</t>
  </si>
  <si>
    <t xml:space="preserve">	414.2761-414.0472</t>
  </si>
  <si>
    <t xml:space="preserve">	414.505-416.1072</t>
  </si>
  <si>
    <t xml:space="preserve">	415.1917-416.3361</t>
  </si>
  <si>
    <t xml:space="preserve">	414.0472-413.3606</t>
  </si>
  <si>
    <t xml:space="preserve">	449.9817-449.7528</t>
  </si>
  <si>
    <t xml:space="preserve">	401.6876-401.001</t>
  </si>
  <si>
    <t xml:space="preserve">	416.3361-419.9982</t>
  </si>
  <si>
    <t xml:space="preserve">	413.5895-412.2162</t>
  </si>
  <si>
    <t xml:space="preserve">	415.4205-414.7339</t>
  </si>
  <si>
    <t xml:space="preserve">	415.4205-414.2761</t>
  </si>
  <si>
    <t xml:space="preserve">	412.674-410.614</t>
  </si>
  <si>
    <t xml:space="preserve">	404.2053-402.6031</t>
  </si>
  <si>
    <t xml:space="preserve">	604.9347-603.7903</t>
  </si>
  <si>
    <t xml:space="preserve">	341.0339-341.2628</t>
  </si>
  <si>
    <t xml:space="preserve">	360.9467-361.4044</t>
  </si>
  <si>
    <t xml:space="preserve">	615.2344-614.5477</t>
  </si>
  <si>
    <t xml:space="preserve">	614.5477-613.6322</t>
  </si>
  <si>
    <t xml:space="preserve">	617.981-616.6077</t>
  </si>
  <si>
    <t xml:space="preserve">	610.4279-611.1145</t>
  </si>
  <si>
    <t xml:space="preserve">	599.4415-598.2971</t>
  </si>
  <si>
    <t xml:space="preserve">	411.7584-412.674</t>
  </si>
  <si>
    <t xml:space="preserve">	413.3606-412.4451</t>
  </si>
  <si>
    <t xml:space="preserve">	460.5103-457.077</t>
  </si>
  <si>
    <t xml:space="preserve">	411.9873-411.7584</t>
  </si>
  <si>
    <t xml:space="preserve">	395.7367-396.8811</t>
  </si>
  <si>
    <t>8_10</t>
  </si>
  <si>
    <t xml:space="preserve">	403.9764-405.3497</t>
  </si>
  <si>
    <t xml:space="preserve">	401.2299-401.6876</t>
  </si>
  <si>
    <t xml:space="preserve">	407.1808-405.1208</t>
  </si>
  <si>
    <t xml:space="preserve">	406.2653-403.2898</t>
  </si>
  <si>
    <t xml:space="preserve">	406.723-403.9764</t>
  </si>
  <si>
    <t xml:space="preserve">	409.9274-407.8674</t>
  </si>
  <si>
    <t xml:space="preserve">	406.9519-408.3252</t>
  </si>
  <si>
    <t xml:space="preserve">	557.5562-555.954</t>
  </si>
  <si>
    <t xml:space="preserve">	612.9456-613.4033</t>
  </si>
  <si>
    <t xml:space="preserve">	406.4941-404.892</t>
  </si>
  <si>
    <t xml:space="preserve">	407.6385-407.4097</t>
  </si>
  <si>
    <t xml:space="preserve">	345.6116-346.0693</t>
  </si>
  <si>
    <t xml:space="preserve">	362.5488-362.3199</t>
  </si>
  <si>
    <t xml:space="preserve">	606.9946-606.7657</t>
  </si>
  <si>
    <t xml:space="preserve">	614.5477-615.0055</t>
  </si>
  <si>
    <t xml:space="preserve">	400.0854-399.3988</t>
  </si>
  <si>
    <t xml:space="preserve">	399.3988-399.6277</t>
  </si>
  <si>
    <t xml:space="preserve">	399.8566-398.941</t>
  </si>
  <si>
    <t xml:space="preserve">	615.4633-614.5477</t>
  </si>
  <si>
    <t xml:space="preserve">	606.5369-606.7657</t>
  </si>
  <si>
    <t xml:space="preserve">	395.7367-396.1945</t>
  </si>
  <si>
    <t xml:space="preserve">	401.001-402.3743</t>
  </si>
  <si>
    <t xml:space="preserve">	404.4342-405.5786</t>
  </si>
  <si>
    <t xml:space="preserve">	405.1208-406.4941</t>
  </si>
  <si>
    <t xml:space="preserve">	402.6031-403.5187</t>
  </si>
  <si>
    <t xml:space="preserve">	400.3143-399.8566</t>
  </si>
  <si>
    <t xml:space="preserve">	442.1997-442.4286</t>
  </si>
  <si>
    <t xml:space="preserve">	396.6522-394.8212</t>
  </si>
  <si>
    <t xml:space="preserve">	397.7966-397.3389</t>
  </si>
  <si>
    <t xml:space="preserve">	398.4833-397.11</t>
  </si>
  <si>
    <t xml:space="preserve">	397.3389-396.8811</t>
  </si>
  <si>
    <t xml:space="preserve">	398.941-399.3988</t>
  </si>
  <si>
    <t xml:space="preserve">	398.941-398.4833</t>
  </si>
  <si>
    <t xml:space="preserve">	398.7122-398.4833</t>
  </si>
  <si>
    <t xml:space="preserve">	402.832-403.7476</t>
  </si>
  <si>
    <t xml:space="preserve">	404.892-402.6031</t>
  </si>
  <si>
    <t xml:space="preserve">	408.3252-405.3497</t>
  </si>
  <si>
    <t xml:space="preserve">	411.5295-409.2407</t>
  </si>
  <si>
    <t xml:space="preserve">	410.614-407.4097</t>
  </si>
  <si>
    <t xml:space="preserve">	407.6385-405.5786</t>
  </si>
  <si>
    <t xml:space="preserve">	404.6631-405.8075</t>
  </si>
  <si>
    <t xml:space="preserve">	403.7476-404.4342</t>
  </si>
  <si>
    <t xml:space="preserve">	602.6459-602.417</t>
  </si>
  <si>
    <t xml:space="preserve">	602.6459-602.1881</t>
  </si>
  <si>
    <t xml:space="preserve">	610.6567-610.8856</t>
  </si>
  <si>
    <t xml:space="preserve">	399.6277-399.8566</t>
  </si>
  <si>
    <t xml:space="preserve">	330.7343-331.4209</t>
  </si>
  <si>
    <t xml:space="preserve">	605.6213-606.5369</t>
  </si>
  <si>
    <t xml:space="preserve">	613.4033-612.7167</t>
  </si>
  <si>
    <t xml:space="preserve">	616.8365-615.6921</t>
  </si>
  <si>
    <t xml:space="preserve">	616.8365-617.0654</t>
  </si>
  <si>
    <t xml:space="preserve">	618.4387-617.2943</t>
  </si>
  <si>
    <t xml:space="preserve">	609.5123-609.2834</t>
  </si>
  <si>
    <t xml:space="preserve">	597.3816-598.0682</t>
  </si>
  <si>
    <t xml:space="preserve">	403.7476-404.892</t>
  </si>
  <si>
    <t xml:space="preserve">	400.5432-401.001</t>
  </si>
  <si>
    <t xml:space="preserve">	455.246-450.4395</t>
  </si>
  <si>
    <t xml:space="preserve">	401.4587-400.7721</t>
  </si>
  <si>
    <t xml:space="preserve">	397.3389-398.941</t>
  </si>
  <si>
    <t xml:space="preserve">	399.6277-399.1699</t>
  </si>
  <si>
    <t xml:space="preserve">	398.4833-399.1699</t>
  </si>
  <si>
    <t xml:space="preserve">	399.6277-402.1454</t>
  </si>
  <si>
    <t xml:space="preserve">	401.4587-404.2053</t>
  </si>
  <si>
    <t xml:space="preserve">	400.5432-401.9165</t>
  </si>
  <si>
    <t xml:space="preserve">	393.4479-393.219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</si>
</sst>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E94B-635A-4B72-AD7D-5DD2681274E8}">
  <dimension ref="A1:QL23"/>
  <sheetViews>
    <sheetView tabSelected="1" workbookViewId="0">
      <pane xSplit="406" ySplit="2" topLeftCell="PD3" activePane="bottomRight" state="frozen"/>
      <selection pane="topRight" activeCell="OQ1" sqref="OQ1"/>
      <selection pane="bottomLeft" activeCell="A3" sqref="A3"/>
      <selection pane="bottomRight" activeCell="PZ6" sqref="PZ6"/>
    </sheetView>
  </sheetViews>
  <sheetFormatPr defaultRowHeight="13.8" x14ac:dyDescent="0.25"/>
  <cols>
    <col min="3" max="406" width="0" hidden="1" customWidth="1"/>
  </cols>
  <sheetData>
    <row r="1" spans="1:4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</row>
    <row r="2" spans="1:454" x14ac:dyDescent="0.25">
      <c r="A2" t="s">
        <v>0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t="s">
        <v>465</v>
      </c>
      <c r="O2" t="s">
        <v>466</v>
      </c>
      <c r="P2" t="s">
        <v>467</v>
      </c>
      <c r="Q2" t="s">
        <v>468</v>
      </c>
      <c r="R2" t="s">
        <v>469</v>
      </c>
      <c r="S2" t="s">
        <v>470</v>
      </c>
      <c r="T2" t="s">
        <v>471</v>
      </c>
      <c r="U2" t="s">
        <v>472</v>
      </c>
      <c r="V2" t="s">
        <v>473</v>
      </c>
      <c r="W2" t="s">
        <v>474</v>
      </c>
      <c r="X2" t="s">
        <v>475</v>
      </c>
      <c r="Y2" t="s">
        <v>476</v>
      </c>
      <c r="Z2" t="s">
        <v>477</v>
      </c>
      <c r="AA2" t="s">
        <v>478</v>
      </c>
      <c r="AB2" t="s">
        <v>479</v>
      </c>
      <c r="AC2" t="s">
        <v>480</v>
      </c>
      <c r="AD2" t="s">
        <v>481</v>
      </c>
      <c r="AE2" t="s">
        <v>482</v>
      </c>
      <c r="AF2" t="s">
        <v>483</v>
      </c>
      <c r="AG2" t="s">
        <v>484</v>
      </c>
      <c r="AH2" t="s">
        <v>485</v>
      </c>
      <c r="AI2" t="s">
        <v>486</v>
      </c>
      <c r="AJ2" t="s">
        <v>487</v>
      </c>
      <c r="AK2" t="s">
        <v>488</v>
      </c>
      <c r="AL2" t="s">
        <v>489</v>
      </c>
      <c r="AM2" t="s">
        <v>490</v>
      </c>
      <c r="AN2" t="s">
        <v>491</v>
      </c>
      <c r="AO2" t="s">
        <v>492</v>
      </c>
      <c r="AP2" t="s">
        <v>493</v>
      </c>
      <c r="AQ2" t="s">
        <v>494</v>
      </c>
      <c r="AR2" t="s">
        <v>495</v>
      </c>
      <c r="AS2" t="s">
        <v>496</v>
      </c>
      <c r="AT2" t="s">
        <v>497</v>
      </c>
      <c r="AU2" t="s">
        <v>498</v>
      </c>
      <c r="AV2" t="s">
        <v>499</v>
      </c>
      <c r="AW2" t="s">
        <v>500</v>
      </c>
      <c r="AX2" t="s">
        <v>501</v>
      </c>
      <c r="AY2" t="s">
        <v>502</v>
      </c>
      <c r="AZ2" t="s">
        <v>503</v>
      </c>
      <c r="BA2" t="s">
        <v>504</v>
      </c>
      <c r="BB2" t="s">
        <v>505</v>
      </c>
      <c r="BC2" t="s">
        <v>506</v>
      </c>
      <c r="BD2" t="s">
        <v>507</v>
      </c>
      <c r="BE2" t="s">
        <v>508</v>
      </c>
      <c r="BF2" t="s">
        <v>509</v>
      </c>
      <c r="BG2" t="s">
        <v>510</v>
      </c>
      <c r="BH2" t="s">
        <v>511</v>
      </c>
      <c r="BI2" t="s">
        <v>512</v>
      </c>
      <c r="BJ2" t="s">
        <v>513</v>
      </c>
      <c r="BK2" t="s">
        <v>514</v>
      </c>
      <c r="BL2" t="s">
        <v>515</v>
      </c>
      <c r="BM2" t="s">
        <v>516</v>
      </c>
      <c r="BN2" t="s">
        <v>517</v>
      </c>
      <c r="BO2" t="s">
        <v>518</v>
      </c>
      <c r="BP2" t="s">
        <v>519</v>
      </c>
      <c r="BQ2" t="s">
        <v>520</v>
      </c>
      <c r="BR2" t="s">
        <v>521</v>
      </c>
      <c r="BS2" t="s">
        <v>522</v>
      </c>
      <c r="BT2" t="s">
        <v>523</v>
      </c>
      <c r="BU2" t="s">
        <v>524</v>
      </c>
      <c r="BV2" t="s">
        <v>525</v>
      </c>
      <c r="BW2" t="s">
        <v>526</v>
      </c>
      <c r="BX2" t="s">
        <v>527</v>
      </c>
      <c r="BY2" t="s">
        <v>528</v>
      </c>
      <c r="BZ2" t="s">
        <v>529</v>
      </c>
      <c r="CA2" t="s">
        <v>530</v>
      </c>
      <c r="CB2" t="s">
        <v>531</v>
      </c>
      <c r="CC2" t="s">
        <v>532</v>
      </c>
      <c r="CD2" t="s">
        <v>533</v>
      </c>
      <c r="CE2" t="s">
        <v>534</v>
      </c>
      <c r="CF2" t="s">
        <v>535</v>
      </c>
      <c r="CG2" t="s">
        <v>536</v>
      </c>
      <c r="CH2" t="s">
        <v>537</v>
      </c>
      <c r="CI2" t="s">
        <v>538</v>
      </c>
      <c r="CJ2" t="s">
        <v>539</v>
      </c>
      <c r="CK2" t="s">
        <v>540</v>
      </c>
      <c r="CL2" t="s">
        <v>541</v>
      </c>
      <c r="CM2" t="s">
        <v>542</v>
      </c>
      <c r="CN2" t="s">
        <v>543</v>
      </c>
      <c r="CO2" t="s">
        <v>544</v>
      </c>
      <c r="CP2" t="s">
        <v>545</v>
      </c>
      <c r="CQ2" t="s">
        <v>546</v>
      </c>
      <c r="CR2" t="s">
        <v>547</v>
      </c>
      <c r="CS2" t="s">
        <v>548</v>
      </c>
      <c r="CT2" t="s">
        <v>549</v>
      </c>
      <c r="CU2" t="s">
        <v>550</v>
      </c>
      <c r="CV2" t="s">
        <v>551</v>
      </c>
      <c r="CW2" t="s">
        <v>552</v>
      </c>
      <c r="CX2" t="s">
        <v>553</v>
      </c>
      <c r="CY2" t="s">
        <v>554</v>
      </c>
      <c r="CZ2" t="s">
        <v>555</v>
      </c>
      <c r="DA2" t="s">
        <v>556</v>
      </c>
      <c r="DB2" t="s">
        <v>557</v>
      </c>
      <c r="DC2" t="s">
        <v>558</v>
      </c>
      <c r="DD2" t="s">
        <v>559</v>
      </c>
      <c r="DE2" t="s">
        <v>560</v>
      </c>
      <c r="DF2" t="s">
        <v>561</v>
      </c>
      <c r="DG2" t="s">
        <v>562</v>
      </c>
      <c r="DH2" t="s">
        <v>563</v>
      </c>
      <c r="DI2" t="s">
        <v>564</v>
      </c>
      <c r="DJ2" t="s">
        <v>565</v>
      </c>
      <c r="DK2" t="s">
        <v>566</v>
      </c>
      <c r="DL2" t="s">
        <v>567</v>
      </c>
      <c r="DM2" t="s">
        <v>568</v>
      </c>
      <c r="DN2" t="s">
        <v>569</v>
      </c>
      <c r="DO2" t="s">
        <v>570</v>
      </c>
      <c r="DP2" t="s">
        <v>571</v>
      </c>
      <c r="DQ2" t="s">
        <v>572</v>
      </c>
      <c r="DR2" t="s">
        <v>573</v>
      </c>
      <c r="DS2" t="s">
        <v>574</v>
      </c>
      <c r="DT2" t="s">
        <v>575</v>
      </c>
      <c r="DU2" t="s">
        <v>576</v>
      </c>
      <c r="DV2" t="s">
        <v>577</v>
      </c>
      <c r="DW2" t="s">
        <v>578</v>
      </c>
      <c r="DX2" t="s">
        <v>579</v>
      </c>
      <c r="DY2" t="s">
        <v>580</v>
      </c>
      <c r="DZ2" t="s">
        <v>581</v>
      </c>
      <c r="EA2" t="s">
        <v>582</v>
      </c>
      <c r="EB2" t="s">
        <v>583</v>
      </c>
      <c r="EC2" t="s">
        <v>584</v>
      </c>
      <c r="ED2" t="s">
        <v>585</v>
      </c>
      <c r="EE2" t="s">
        <v>586</v>
      </c>
      <c r="EF2" t="s">
        <v>587</v>
      </c>
      <c r="EG2" t="s">
        <v>588</v>
      </c>
      <c r="EH2" t="s">
        <v>589</v>
      </c>
      <c r="EI2" t="s">
        <v>590</v>
      </c>
      <c r="EJ2" t="s">
        <v>591</v>
      </c>
      <c r="EK2" t="s">
        <v>592</v>
      </c>
      <c r="EL2" t="s">
        <v>593</v>
      </c>
      <c r="EM2" t="s">
        <v>594</v>
      </c>
      <c r="EN2" t="s">
        <v>595</v>
      </c>
      <c r="EO2" t="s">
        <v>596</v>
      </c>
      <c r="EP2" t="s">
        <v>597</v>
      </c>
      <c r="EQ2" t="s">
        <v>598</v>
      </c>
      <c r="ER2" t="s">
        <v>495</v>
      </c>
      <c r="ES2" t="s">
        <v>496</v>
      </c>
      <c r="ET2" t="s">
        <v>599</v>
      </c>
      <c r="EU2" t="s">
        <v>600</v>
      </c>
      <c r="EV2" t="s">
        <v>601</v>
      </c>
      <c r="EW2" t="s">
        <v>602</v>
      </c>
      <c r="EX2" t="s">
        <v>603</v>
      </c>
      <c r="EY2" t="s">
        <v>604</v>
      </c>
      <c r="EZ2" t="s">
        <v>605</v>
      </c>
      <c r="FA2" t="s">
        <v>606</v>
      </c>
      <c r="FB2" t="s">
        <v>607</v>
      </c>
      <c r="FC2" t="s">
        <v>608</v>
      </c>
      <c r="FD2" t="s">
        <v>609</v>
      </c>
      <c r="FE2" t="s">
        <v>610</v>
      </c>
      <c r="FF2" t="s">
        <v>611</v>
      </c>
      <c r="FG2" t="s">
        <v>612</v>
      </c>
      <c r="FH2" t="s">
        <v>613</v>
      </c>
      <c r="FI2" t="s">
        <v>614</v>
      </c>
      <c r="FJ2" t="s">
        <v>615</v>
      </c>
      <c r="FK2" t="s">
        <v>616</v>
      </c>
      <c r="FL2" t="s">
        <v>617</v>
      </c>
      <c r="FM2" t="s">
        <v>618</v>
      </c>
      <c r="FN2" t="s">
        <v>619</v>
      </c>
      <c r="FO2" t="s">
        <v>620</v>
      </c>
      <c r="FP2" t="s">
        <v>621</v>
      </c>
      <c r="FQ2" t="s">
        <v>622</v>
      </c>
      <c r="FR2" t="s">
        <v>623</v>
      </c>
      <c r="FS2" t="s">
        <v>624</v>
      </c>
      <c r="FT2" t="s">
        <v>625</v>
      </c>
      <c r="FU2" t="s">
        <v>626</v>
      </c>
      <c r="FV2" t="s">
        <v>627</v>
      </c>
      <c r="FW2" t="s">
        <v>628</v>
      </c>
      <c r="FX2" t="s">
        <v>629</v>
      </c>
      <c r="FY2" t="s">
        <v>630</v>
      </c>
      <c r="FZ2" t="s">
        <v>631</v>
      </c>
      <c r="GA2" t="s">
        <v>632</v>
      </c>
      <c r="GB2" t="s">
        <v>633</v>
      </c>
      <c r="GC2" t="s">
        <v>634</v>
      </c>
      <c r="GD2" t="s">
        <v>635</v>
      </c>
      <c r="GE2" t="s">
        <v>636</v>
      </c>
      <c r="GF2" t="s">
        <v>637</v>
      </c>
      <c r="GG2" t="s">
        <v>638</v>
      </c>
      <c r="GH2" t="s">
        <v>639</v>
      </c>
      <c r="GI2" t="s">
        <v>640</v>
      </c>
      <c r="GJ2" t="s">
        <v>641</v>
      </c>
      <c r="GK2" t="s">
        <v>642</v>
      </c>
      <c r="GL2" t="s">
        <v>643</v>
      </c>
      <c r="GM2" t="s">
        <v>644</v>
      </c>
      <c r="GN2" t="s">
        <v>645</v>
      </c>
      <c r="GO2" t="s">
        <v>646</v>
      </c>
      <c r="GP2" t="s">
        <v>647</v>
      </c>
      <c r="GQ2" t="s">
        <v>648</v>
      </c>
      <c r="GR2" t="s">
        <v>649</v>
      </c>
      <c r="GS2" t="s">
        <v>650</v>
      </c>
      <c r="GT2" t="s">
        <v>651</v>
      </c>
      <c r="GU2" t="s">
        <v>652</v>
      </c>
      <c r="GV2" t="s">
        <v>653</v>
      </c>
      <c r="GW2" t="s">
        <v>654</v>
      </c>
      <c r="GX2" t="s">
        <v>655</v>
      </c>
      <c r="GY2" t="s">
        <v>656</v>
      </c>
      <c r="GZ2" t="s">
        <v>657</v>
      </c>
      <c r="HA2" t="s">
        <v>658</v>
      </c>
      <c r="HB2" t="s">
        <v>659</v>
      </c>
      <c r="HC2" t="s">
        <v>660</v>
      </c>
      <c r="HD2" t="s">
        <v>661</v>
      </c>
      <c r="HE2" t="s">
        <v>662</v>
      </c>
      <c r="HF2" t="s">
        <v>663</v>
      </c>
      <c r="HG2" t="s">
        <v>664</v>
      </c>
      <c r="HH2" t="s">
        <v>665</v>
      </c>
      <c r="HI2" t="s">
        <v>666</v>
      </c>
      <c r="HJ2" t="s">
        <v>667</v>
      </c>
      <c r="HK2" t="s">
        <v>668</v>
      </c>
      <c r="HL2" t="s">
        <v>669</v>
      </c>
      <c r="HM2" t="s">
        <v>670</v>
      </c>
      <c r="HN2" t="s">
        <v>671</v>
      </c>
      <c r="HO2" t="s">
        <v>672</v>
      </c>
      <c r="HP2" t="s">
        <v>673</v>
      </c>
      <c r="HQ2" t="s">
        <v>674</v>
      </c>
      <c r="HR2" t="s">
        <v>675</v>
      </c>
      <c r="HS2" t="s">
        <v>676</v>
      </c>
      <c r="HT2" t="s">
        <v>677</v>
      </c>
      <c r="HU2" t="s">
        <v>678</v>
      </c>
      <c r="HV2" t="s">
        <v>679</v>
      </c>
      <c r="HW2" t="s">
        <v>680</v>
      </c>
      <c r="HX2" t="s">
        <v>681</v>
      </c>
      <c r="HY2" t="s">
        <v>682</v>
      </c>
      <c r="HZ2" t="s">
        <v>683</v>
      </c>
      <c r="IA2" t="s">
        <v>684</v>
      </c>
      <c r="IB2" t="s">
        <v>685</v>
      </c>
      <c r="IC2" t="s">
        <v>686</v>
      </c>
      <c r="ID2" t="s">
        <v>687</v>
      </c>
      <c r="IE2" t="s">
        <v>688</v>
      </c>
      <c r="IF2" t="s">
        <v>689</v>
      </c>
      <c r="IG2" t="s">
        <v>690</v>
      </c>
      <c r="IH2" t="s">
        <v>691</v>
      </c>
      <c r="II2" t="s">
        <v>692</v>
      </c>
      <c r="IJ2" t="s">
        <v>693</v>
      </c>
      <c r="IK2" t="s">
        <v>694</v>
      </c>
      <c r="IL2" t="s">
        <v>695</v>
      </c>
      <c r="IM2" t="s">
        <v>696</v>
      </c>
      <c r="IN2" t="s">
        <v>697</v>
      </c>
      <c r="IO2" t="s">
        <v>698</v>
      </c>
      <c r="IP2" t="s">
        <v>699</v>
      </c>
      <c r="IQ2" t="s">
        <v>700</v>
      </c>
      <c r="IR2" t="s">
        <v>701</v>
      </c>
      <c r="IS2" t="s">
        <v>702</v>
      </c>
      <c r="IT2" t="s">
        <v>703</v>
      </c>
      <c r="IU2" t="s">
        <v>704</v>
      </c>
      <c r="IV2" t="s">
        <v>705</v>
      </c>
      <c r="IW2" t="s">
        <v>706</v>
      </c>
      <c r="IX2" t="s">
        <v>707</v>
      </c>
      <c r="IY2" t="s">
        <v>708</v>
      </c>
      <c r="IZ2" t="s">
        <v>709</v>
      </c>
      <c r="JA2" t="s">
        <v>710</v>
      </c>
      <c r="JB2" t="s">
        <v>711</v>
      </c>
      <c r="JC2" t="s">
        <v>712</v>
      </c>
      <c r="JD2" t="s">
        <v>713</v>
      </c>
      <c r="JE2" t="s">
        <v>714</v>
      </c>
      <c r="JF2" t="s">
        <v>715</v>
      </c>
      <c r="JG2" t="s">
        <v>716</v>
      </c>
      <c r="JH2" t="s">
        <v>717</v>
      </c>
      <c r="JI2" t="s">
        <v>718</v>
      </c>
      <c r="JJ2" t="s">
        <v>719</v>
      </c>
      <c r="JK2" t="s">
        <v>720</v>
      </c>
      <c r="JL2" t="s">
        <v>721</v>
      </c>
      <c r="JM2" t="s">
        <v>722</v>
      </c>
      <c r="JN2" t="s">
        <v>723</v>
      </c>
      <c r="JO2" t="s">
        <v>724</v>
      </c>
      <c r="JP2" t="s">
        <v>725</v>
      </c>
      <c r="JQ2" t="s">
        <v>726</v>
      </c>
      <c r="JR2" t="s">
        <v>727</v>
      </c>
      <c r="JS2" t="s">
        <v>728</v>
      </c>
      <c r="JT2" t="s">
        <v>729</v>
      </c>
      <c r="JU2" t="s">
        <v>730</v>
      </c>
      <c r="JV2" t="s">
        <v>731</v>
      </c>
      <c r="JW2" t="s">
        <v>732</v>
      </c>
      <c r="JX2" t="s">
        <v>733</v>
      </c>
      <c r="JY2" t="s">
        <v>734</v>
      </c>
      <c r="JZ2" t="s">
        <v>735</v>
      </c>
      <c r="KA2" t="s">
        <v>736</v>
      </c>
      <c r="KB2" t="s">
        <v>737</v>
      </c>
      <c r="KC2" t="s">
        <v>738</v>
      </c>
      <c r="KD2" t="s">
        <v>739</v>
      </c>
      <c r="KE2" t="s">
        <v>740</v>
      </c>
      <c r="KF2" t="s">
        <v>741</v>
      </c>
      <c r="KG2" t="s">
        <v>742</v>
      </c>
      <c r="KH2" t="s">
        <v>743</v>
      </c>
      <c r="KI2" t="s">
        <v>744</v>
      </c>
      <c r="KJ2" t="s">
        <v>745</v>
      </c>
      <c r="KK2" t="s">
        <v>746</v>
      </c>
      <c r="KL2" t="s">
        <v>747</v>
      </c>
      <c r="KM2" t="s">
        <v>748</v>
      </c>
      <c r="KN2" t="s">
        <v>749</v>
      </c>
      <c r="KO2" t="s">
        <v>750</v>
      </c>
      <c r="KP2" t="s">
        <v>751</v>
      </c>
      <c r="KQ2" t="s">
        <v>752</v>
      </c>
      <c r="KR2" t="s">
        <v>753</v>
      </c>
      <c r="KS2" t="s">
        <v>754</v>
      </c>
      <c r="KT2" t="s">
        <v>755</v>
      </c>
      <c r="KU2" t="s">
        <v>756</v>
      </c>
      <c r="KV2" t="s">
        <v>757</v>
      </c>
      <c r="KW2" t="s">
        <v>758</v>
      </c>
      <c r="KX2" t="s">
        <v>759</v>
      </c>
      <c r="KY2" t="s">
        <v>760</v>
      </c>
      <c r="KZ2" t="s">
        <v>761</v>
      </c>
      <c r="LA2" t="s">
        <v>762</v>
      </c>
      <c r="LB2" t="s">
        <v>763</v>
      </c>
      <c r="LC2" t="s">
        <v>764</v>
      </c>
      <c r="LD2" t="s">
        <v>765</v>
      </c>
      <c r="LE2" t="s">
        <v>766</v>
      </c>
      <c r="LF2" t="s">
        <v>767</v>
      </c>
      <c r="LG2" t="s">
        <v>768</v>
      </c>
      <c r="LH2" t="s">
        <v>769</v>
      </c>
      <c r="LI2" t="s">
        <v>770</v>
      </c>
      <c r="LJ2" t="s">
        <v>771</v>
      </c>
      <c r="LK2" t="s">
        <v>772</v>
      </c>
      <c r="LL2" t="s">
        <v>773</v>
      </c>
      <c r="LM2" t="s">
        <v>774</v>
      </c>
      <c r="LN2" t="s">
        <v>775</v>
      </c>
      <c r="LO2" t="s">
        <v>776</v>
      </c>
      <c r="LP2" t="s">
        <v>777</v>
      </c>
      <c r="LQ2" t="s">
        <v>778</v>
      </c>
      <c r="LR2" t="s">
        <v>779</v>
      </c>
      <c r="LS2" t="s">
        <v>780</v>
      </c>
      <c r="LT2" t="s">
        <v>781</v>
      </c>
      <c r="LU2" t="s">
        <v>782</v>
      </c>
      <c r="LV2" t="s">
        <v>783</v>
      </c>
      <c r="LW2" t="s">
        <v>784</v>
      </c>
      <c r="LX2" t="s">
        <v>785</v>
      </c>
      <c r="LY2" t="s">
        <v>786</v>
      </c>
      <c r="LZ2" t="s">
        <v>787</v>
      </c>
      <c r="MA2" t="s">
        <v>788</v>
      </c>
      <c r="MB2" t="s">
        <v>789</v>
      </c>
      <c r="MC2" t="s">
        <v>790</v>
      </c>
      <c r="MD2" t="s">
        <v>791</v>
      </c>
      <c r="ME2" t="s">
        <v>792</v>
      </c>
      <c r="MF2" t="s">
        <v>793</v>
      </c>
      <c r="MG2" t="s">
        <v>794</v>
      </c>
      <c r="MH2" t="s">
        <v>795</v>
      </c>
      <c r="MI2" t="s">
        <v>796</v>
      </c>
      <c r="MJ2" t="s">
        <v>797</v>
      </c>
      <c r="MK2" t="s">
        <v>798</v>
      </c>
      <c r="ML2" t="s">
        <v>695</v>
      </c>
      <c r="MM2" t="s">
        <v>696</v>
      </c>
      <c r="MN2" t="s">
        <v>799</v>
      </c>
      <c r="MO2" t="s">
        <v>800</v>
      </c>
      <c r="MP2" t="s">
        <v>801</v>
      </c>
      <c r="MQ2" t="s">
        <v>802</v>
      </c>
      <c r="MR2" t="s">
        <v>803</v>
      </c>
      <c r="MS2" t="s">
        <v>804</v>
      </c>
      <c r="MT2" t="s">
        <v>805</v>
      </c>
      <c r="MU2" t="s">
        <v>806</v>
      </c>
      <c r="MV2" t="s">
        <v>807</v>
      </c>
      <c r="MW2" t="s">
        <v>808</v>
      </c>
      <c r="MX2" t="s">
        <v>809</v>
      </c>
      <c r="MY2" t="s">
        <v>810</v>
      </c>
      <c r="MZ2" t="s">
        <v>811</v>
      </c>
      <c r="NA2" t="s">
        <v>812</v>
      </c>
      <c r="NB2" t="s">
        <v>813</v>
      </c>
      <c r="NC2" t="s">
        <v>814</v>
      </c>
      <c r="ND2" t="s">
        <v>815</v>
      </c>
      <c r="NE2" t="s">
        <v>816</v>
      </c>
      <c r="NF2" t="s">
        <v>817</v>
      </c>
      <c r="NG2" t="s">
        <v>818</v>
      </c>
      <c r="NH2" t="s">
        <v>819</v>
      </c>
      <c r="NI2" t="s">
        <v>820</v>
      </c>
      <c r="NJ2" t="s">
        <v>821</v>
      </c>
      <c r="NK2" t="s">
        <v>822</v>
      </c>
      <c r="NL2" t="s">
        <v>823</v>
      </c>
      <c r="NM2" t="s">
        <v>824</v>
      </c>
      <c r="NN2" t="s">
        <v>825</v>
      </c>
      <c r="NO2" t="s">
        <v>826</v>
      </c>
      <c r="NP2" t="s">
        <v>827</v>
      </c>
      <c r="NQ2" t="s">
        <v>828</v>
      </c>
      <c r="NR2" t="s">
        <v>829</v>
      </c>
      <c r="NS2" t="s">
        <v>830</v>
      </c>
      <c r="NT2" t="s">
        <v>831</v>
      </c>
      <c r="NU2" t="s">
        <v>832</v>
      </c>
      <c r="NV2" t="s">
        <v>833</v>
      </c>
      <c r="NW2" t="s">
        <v>834</v>
      </c>
      <c r="NX2" t="s">
        <v>835</v>
      </c>
      <c r="NY2" t="s">
        <v>836</v>
      </c>
      <c r="NZ2" t="s">
        <v>837</v>
      </c>
      <c r="OA2" t="s">
        <v>838</v>
      </c>
      <c r="OB2" t="s">
        <v>839</v>
      </c>
      <c r="OC2" t="s">
        <v>840</v>
      </c>
      <c r="OD2" t="s">
        <v>841</v>
      </c>
      <c r="OE2" t="s">
        <v>842</v>
      </c>
      <c r="OF2" t="s">
        <v>843</v>
      </c>
      <c r="OG2" t="s">
        <v>844</v>
      </c>
      <c r="OH2" t="s">
        <v>845</v>
      </c>
      <c r="OI2" t="s">
        <v>846</v>
      </c>
      <c r="OJ2" t="s">
        <v>847</v>
      </c>
      <c r="OK2" t="s">
        <v>848</v>
      </c>
      <c r="OL2" t="s">
        <v>849</v>
      </c>
      <c r="OM2" t="s">
        <v>850</v>
      </c>
      <c r="ON2" t="s">
        <v>851</v>
      </c>
      <c r="OO2" t="s">
        <v>852</v>
      </c>
      <c r="OP2" t="s">
        <v>853</v>
      </c>
      <c r="OQ2" t="s">
        <v>854</v>
      </c>
      <c r="OR2" t="s">
        <v>854</v>
      </c>
      <c r="OS2" t="s">
        <v>855</v>
      </c>
      <c r="OT2" t="s">
        <v>855</v>
      </c>
      <c r="OU2" t="s">
        <v>856</v>
      </c>
      <c r="OV2" t="s">
        <v>857</v>
      </c>
      <c r="OW2" t="s">
        <v>857</v>
      </c>
      <c r="OX2" t="s">
        <v>857</v>
      </c>
      <c r="OY2" t="s">
        <v>857</v>
      </c>
      <c r="OZ2" t="s">
        <v>858</v>
      </c>
      <c r="PA2" t="s">
        <v>859</v>
      </c>
      <c r="PB2" t="s">
        <v>860</v>
      </c>
      <c r="PC2" t="s">
        <v>861</v>
      </c>
      <c r="PD2" t="s">
        <v>862</v>
      </c>
      <c r="PE2" t="s">
        <v>862</v>
      </c>
      <c r="PF2" t="s">
        <v>862</v>
      </c>
      <c r="PG2" t="s">
        <v>862</v>
      </c>
      <c r="PH2" t="s">
        <v>863</v>
      </c>
      <c r="PI2" t="s">
        <v>863</v>
      </c>
      <c r="PJ2" t="s">
        <v>863</v>
      </c>
      <c r="PK2" t="s">
        <v>864</v>
      </c>
      <c r="PL2" t="s">
        <v>864</v>
      </c>
      <c r="PM2" t="s">
        <v>864</v>
      </c>
      <c r="PN2" t="s">
        <v>864</v>
      </c>
      <c r="PO2" t="s">
        <v>864</v>
      </c>
      <c r="PP2" t="s">
        <v>864</v>
      </c>
      <c r="PQ2" t="s">
        <v>864</v>
      </c>
      <c r="PR2" t="s">
        <v>864</v>
      </c>
      <c r="PS2" t="s">
        <v>864</v>
      </c>
      <c r="PT2" t="s">
        <v>864</v>
      </c>
      <c r="PU2" t="s">
        <v>865</v>
      </c>
      <c r="PV2" t="s">
        <v>866</v>
      </c>
      <c r="PW2" t="s">
        <v>866</v>
      </c>
      <c r="PX2" t="s">
        <v>866</v>
      </c>
      <c r="PY2" t="s">
        <v>866</v>
      </c>
      <c r="PZ2" t="s">
        <v>866</v>
      </c>
      <c r="QA2" t="s">
        <v>866</v>
      </c>
      <c r="QB2" t="s">
        <v>866</v>
      </c>
      <c r="QC2" t="s">
        <v>866</v>
      </c>
      <c r="QD2" t="s">
        <v>866</v>
      </c>
      <c r="QE2" t="s">
        <v>867</v>
      </c>
      <c r="QF2" t="s">
        <v>867</v>
      </c>
      <c r="QG2" t="s">
        <v>867</v>
      </c>
      <c r="QH2" t="s">
        <v>867</v>
      </c>
      <c r="QI2" t="s">
        <v>867</v>
      </c>
      <c r="QJ2" t="s">
        <v>867</v>
      </c>
      <c r="QK2" t="s">
        <v>867</v>
      </c>
      <c r="QL2" t="s">
        <v>867</v>
      </c>
    </row>
    <row r="3" spans="1:454" x14ac:dyDescent="0.25">
      <c r="A3" t="s">
        <v>868</v>
      </c>
      <c r="B3" t="s">
        <v>869</v>
      </c>
      <c r="C3" t="s">
        <v>870</v>
      </c>
      <c r="D3" t="s">
        <v>871</v>
      </c>
      <c r="E3" t="s">
        <v>872</v>
      </c>
      <c r="F3" t="s">
        <v>873</v>
      </c>
      <c r="G3" t="s">
        <v>874</v>
      </c>
      <c r="H3" t="s">
        <v>875</v>
      </c>
      <c r="I3" t="s">
        <v>876</v>
      </c>
      <c r="J3" t="s">
        <v>877</v>
      </c>
      <c r="K3" t="s">
        <v>878</v>
      </c>
      <c r="L3" t="s">
        <v>879</v>
      </c>
      <c r="O3" t="s">
        <v>880</v>
      </c>
      <c r="P3" t="s">
        <v>881</v>
      </c>
      <c r="R3" t="s">
        <v>882</v>
      </c>
      <c r="S3" t="s">
        <v>883</v>
      </c>
      <c r="T3" t="s">
        <v>884</v>
      </c>
      <c r="U3" t="s">
        <v>885</v>
      </c>
      <c r="V3" t="s">
        <v>886</v>
      </c>
      <c r="W3" t="s">
        <v>887</v>
      </c>
      <c r="X3" t="s">
        <v>888</v>
      </c>
      <c r="Y3" t="s">
        <v>889</v>
      </c>
      <c r="Z3" t="s">
        <v>890</v>
      </c>
      <c r="AA3" t="s">
        <v>891</v>
      </c>
      <c r="AB3" t="s">
        <v>892</v>
      </c>
      <c r="AC3" t="s">
        <v>893</v>
      </c>
      <c r="AD3" t="s">
        <v>894</v>
      </c>
      <c r="AE3" t="s">
        <v>895</v>
      </c>
      <c r="AF3" t="s">
        <v>896</v>
      </c>
      <c r="AG3" t="s">
        <v>897</v>
      </c>
      <c r="AH3" t="s">
        <v>898</v>
      </c>
      <c r="AI3" t="s">
        <v>899</v>
      </c>
      <c r="AJ3" t="s">
        <v>900</v>
      </c>
      <c r="AK3" t="s">
        <v>901</v>
      </c>
      <c r="AL3" t="s">
        <v>902</v>
      </c>
      <c r="AM3" t="s">
        <v>901</v>
      </c>
      <c r="AN3" t="s">
        <v>903</v>
      </c>
      <c r="AP3" t="s">
        <v>904</v>
      </c>
      <c r="AQ3" t="s">
        <v>905</v>
      </c>
      <c r="AR3" t="s">
        <v>906</v>
      </c>
      <c r="AS3" t="s">
        <v>907</v>
      </c>
      <c r="AT3" t="s">
        <v>900</v>
      </c>
      <c r="AU3" t="s">
        <v>908</v>
      </c>
      <c r="AV3" t="s">
        <v>909</v>
      </c>
      <c r="AX3" t="s">
        <v>910</v>
      </c>
      <c r="AY3" t="s">
        <v>910</v>
      </c>
      <c r="AZ3" t="s">
        <v>911</v>
      </c>
      <c r="BB3" t="s">
        <v>912</v>
      </c>
      <c r="BC3" t="s">
        <v>913</v>
      </c>
      <c r="BD3" t="s">
        <v>897</v>
      </c>
      <c r="BE3" t="s">
        <v>914</v>
      </c>
      <c r="BF3" t="s">
        <v>915</v>
      </c>
      <c r="BG3" t="s">
        <v>916</v>
      </c>
      <c r="BH3" t="s">
        <v>917</v>
      </c>
      <c r="BI3" t="s">
        <v>918</v>
      </c>
      <c r="BK3" t="s">
        <v>881</v>
      </c>
      <c r="BL3" t="s">
        <v>919</v>
      </c>
      <c r="BM3" t="s">
        <v>898</v>
      </c>
      <c r="BN3" t="s">
        <v>920</v>
      </c>
      <c r="BO3" t="s">
        <v>921</v>
      </c>
      <c r="BP3" t="s">
        <v>922</v>
      </c>
      <c r="BS3" t="s">
        <v>923</v>
      </c>
      <c r="BT3" t="s">
        <v>899</v>
      </c>
      <c r="BU3" t="s">
        <v>924</v>
      </c>
      <c r="BX3" t="s">
        <v>925</v>
      </c>
      <c r="BY3" t="s">
        <v>926</v>
      </c>
      <c r="BZ3" t="s">
        <v>927</v>
      </c>
      <c r="CA3" t="s">
        <v>928</v>
      </c>
      <c r="CB3" t="s">
        <v>929</v>
      </c>
      <c r="CC3" t="s">
        <v>930</v>
      </c>
      <c r="CD3" t="s">
        <v>931</v>
      </c>
      <c r="CF3" t="s">
        <v>932</v>
      </c>
      <c r="CG3" t="s">
        <v>933</v>
      </c>
      <c r="CH3" t="s">
        <v>934</v>
      </c>
      <c r="CI3" t="s">
        <v>935</v>
      </c>
      <c r="CJ3" t="s">
        <v>928</v>
      </c>
      <c r="CK3" t="s">
        <v>936</v>
      </c>
      <c r="CL3" t="s">
        <v>937</v>
      </c>
      <c r="CM3" t="s">
        <v>938</v>
      </c>
      <c r="CO3" t="s">
        <v>924</v>
      </c>
      <c r="CR3" t="s">
        <v>939</v>
      </c>
      <c r="CS3" t="s">
        <v>940</v>
      </c>
      <c r="CT3" t="s">
        <v>941</v>
      </c>
      <c r="CW3" t="s">
        <v>942</v>
      </c>
      <c r="CY3" t="s">
        <v>943</v>
      </c>
      <c r="CZ3" t="s">
        <v>944</v>
      </c>
      <c r="DA3" t="s">
        <v>945</v>
      </c>
      <c r="DB3" t="s">
        <v>946</v>
      </c>
      <c r="DC3" t="s">
        <v>947</v>
      </c>
      <c r="DD3" t="s">
        <v>948</v>
      </c>
      <c r="DE3" t="s">
        <v>949</v>
      </c>
      <c r="DF3" t="s">
        <v>950</v>
      </c>
      <c r="DH3" t="s">
        <v>951</v>
      </c>
      <c r="DI3" t="s">
        <v>952</v>
      </c>
      <c r="DJ3" t="s">
        <v>953</v>
      </c>
      <c r="DK3" t="s">
        <v>954</v>
      </c>
      <c r="DL3" t="s">
        <v>955</v>
      </c>
      <c r="DM3" t="s">
        <v>956</v>
      </c>
      <c r="DN3" t="s">
        <v>957</v>
      </c>
      <c r="DO3" t="s">
        <v>958</v>
      </c>
      <c r="DQ3" t="s">
        <v>959</v>
      </c>
      <c r="DR3" t="s">
        <v>960</v>
      </c>
      <c r="DS3" t="s">
        <v>900</v>
      </c>
      <c r="DT3" t="s">
        <v>961</v>
      </c>
      <c r="DV3" t="s">
        <v>962</v>
      </c>
      <c r="DW3" t="s">
        <v>963</v>
      </c>
      <c r="DX3" t="s">
        <v>964</v>
      </c>
      <c r="DY3" t="s">
        <v>965</v>
      </c>
      <c r="DZ3" t="s">
        <v>966</v>
      </c>
      <c r="EA3" t="s">
        <v>967</v>
      </c>
      <c r="EB3" t="s">
        <v>968</v>
      </c>
      <c r="EC3" t="s">
        <v>899</v>
      </c>
      <c r="ED3" t="s">
        <v>952</v>
      </c>
      <c r="EE3" t="s">
        <v>903</v>
      </c>
      <c r="EF3" t="s">
        <v>969</v>
      </c>
      <c r="EG3" t="s">
        <v>970</v>
      </c>
      <c r="EH3" t="s">
        <v>933</v>
      </c>
      <c r="EI3" t="s">
        <v>971</v>
      </c>
      <c r="EJ3" t="s">
        <v>972</v>
      </c>
      <c r="EL3" t="s">
        <v>973</v>
      </c>
      <c r="EM3" t="s">
        <v>974</v>
      </c>
      <c r="EN3" t="s">
        <v>975</v>
      </c>
      <c r="EO3" t="s">
        <v>976</v>
      </c>
      <c r="EP3" t="s">
        <v>973</v>
      </c>
      <c r="EQ3" t="s">
        <v>977</v>
      </c>
      <c r="ER3" t="s">
        <v>978</v>
      </c>
      <c r="ET3" t="s">
        <v>979</v>
      </c>
      <c r="EU3" t="s">
        <v>980</v>
      </c>
      <c r="EV3" t="s">
        <v>981</v>
      </c>
      <c r="EW3" t="s">
        <v>982</v>
      </c>
      <c r="EX3" t="s">
        <v>983</v>
      </c>
      <c r="EY3" t="s">
        <v>984</v>
      </c>
      <c r="EZ3" t="s">
        <v>985</v>
      </c>
      <c r="FA3" t="s">
        <v>986</v>
      </c>
      <c r="FB3" t="s">
        <v>987</v>
      </c>
      <c r="FC3" t="s">
        <v>988</v>
      </c>
      <c r="FD3" t="s">
        <v>989</v>
      </c>
      <c r="FE3" t="s">
        <v>990</v>
      </c>
      <c r="FF3" t="s">
        <v>991</v>
      </c>
      <c r="FG3" t="s">
        <v>992</v>
      </c>
      <c r="FH3" t="s">
        <v>993</v>
      </c>
      <c r="FI3" t="s">
        <v>994</v>
      </c>
      <c r="FK3" t="s">
        <v>958</v>
      </c>
      <c r="FL3" t="s">
        <v>970</v>
      </c>
      <c r="FM3" t="s">
        <v>995</v>
      </c>
      <c r="FP3" t="s">
        <v>996</v>
      </c>
      <c r="FQ3" t="s">
        <v>996</v>
      </c>
      <c r="FR3" t="s">
        <v>997</v>
      </c>
      <c r="FS3" t="s">
        <v>998</v>
      </c>
      <c r="FT3" t="s">
        <v>999</v>
      </c>
      <c r="FU3" t="s">
        <v>1000</v>
      </c>
      <c r="FW3" t="s">
        <v>929</v>
      </c>
      <c r="FX3" t="s">
        <v>1001</v>
      </c>
      <c r="FY3" t="s">
        <v>1002</v>
      </c>
      <c r="FZ3" t="s">
        <v>1003</v>
      </c>
      <c r="GA3" t="s">
        <v>1004</v>
      </c>
      <c r="GB3" t="s">
        <v>1005</v>
      </c>
      <c r="GC3" t="s">
        <v>1006</v>
      </c>
      <c r="GD3" t="s">
        <v>1002</v>
      </c>
      <c r="GE3" t="s">
        <v>1007</v>
      </c>
      <c r="GF3" t="s">
        <v>966</v>
      </c>
      <c r="GG3" t="s">
        <v>1008</v>
      </c>
      <c r="GI3" t="s">
        <v>1009</v>
      </c>
      <c r="GJ3" t="s">
        <v>1010</v>
      </c>
      <c r="GK3" t="s">
        <v>1011</v>
      </c>
      <c r="GL3" t="s">
        <v>871</v>
      </c>
      <c r="GM3" t="s">
        <v>1012</v>
      </c>
      <c r="GN3" t="s">
        <v>1013</v>
      </c>
      <c r="GO3" t="s">
        <v>944</v>
      </c>
      <c r="GP3" t="s">
        <v>1014</v>
      </c>
      <c r="GR3" t="s">
        <v>874</v>
      </c>
      <c r="GT3" t="s">
        <v>1015</v>
      </c>
      <c r="GU3" t="s">
        <v>1016</v>
      </c>
      <c r="GV3" t="s">
        <v>1017</v>
      </c>
      <c r="GW3">
        <f>-399.8566--399.1699</f>
        <v>-0.68670000000003029</v>
      </c>
      <c r="GX3">
        <f>-396.1945--396.8811</f>
        <v>0.68659999999999854</v>
      </c>
      <c r="GY3">
        <f>-397.11--396.4233</f>
        <v>-0.68670000000003029</v>
      </c>
      <c r="HA3">
        <f>-395.7367--395.2789</f>
        <v>-0.45779999999996335</v>
      </c>
      <c r="HB3">
        <f>-396.8811--396.6522</f>
        <v>-0.2289000000000101</v>
      </c>
      <c r="HC3">
        <f>-396.4233--396.6522</f>
        <v>0.2289000000000101</v>
      </c>
      <c r="HD3">
        <f>-396.8811--398.0255</f>
        <v>1.1444000000000187</v>
      </c>
      <c r="HE3">
        <f>-396.6522--395.9656</f>
        <v>-0.68659999999999854</v>
      </c>
      <c r="HF3">
        <f>-397.5677--397.3389</f>
        <v>-0.22879999999997835</v>
      </c>
      <c r="HG3">
        <f>-395.05--395.9656</f>
        <v>0.91559999999998354</v>
      </c>
      <c r="HH3">
        <f>-397.11--397.3389</f>
        <v>0.2289000000000101</v>
      </c>
      <c r="HI3">
        <f>-395.9656--396.6522</f>
        <v>0.68659999999999854</v>
      </c>
      <c r="HJ3">
        <f>-394.1345--394.8212</f>
        <v>0.68669999999997344</v>
      </c>
      <c r="HK3">
        <f>-371.4752--371.933</f>
        <v>0.45780000000002019</v>
      </c>
      <c r="HL3">
        <f>-371.0175--371.2463</f>
        <v>0.2288000000000352</v>
      </c>
      <c r="HN3">
        <f>-396.6522--396.8811</f>
        <v>0.2289000000000101</v>
      </c>
      <c r="HO3">
        <f>-394.5923--394.8212</f>
        <v>0.22889999999995325</v>
      </c>
      <c r="HP3">
        <f>-394.1345--394.8212</f>
        <v>0.68669999999997344</v>
      </c>
      <c r="HS3">
        <f>-476.0742--476.532</f>
        <v>0.45779999999996335</v>
      </c>
      <c r="HU3">
        <f>-483.8562--484.0851</f>
        <v>0.2289000000000101</v>
      </c>
      <c r="HV3">
        <f>-396.4233--394.8212</f>
        <v>-1.6021000000000072</v>
      </c>
      <c r="HW3">
        <f>-396.8811--395.9656</f>
        <v>-0.91550000000000864</v>
      </c>
      <c r="HX3">
        <f>-395.05--394.3634</f>
        <v>-0.68659999999999854</v>
      </c>
      <c r="HY3">
        <f>-393.9056--392.9901</f>
        <v>-0.91550000000000864</v>
      </c>
      <c r="HZ3">
        <f>-391.1591--390.7013</f>
        <v>-0.45780000000002019</v>
      </c>
      <c r="IA3">
        <f>-392.5323--391.6168</f>
        <v>-0.91550000000000864</v>
      </c>
      <c r="IB3">
        <f>-390.2435--390.0146</f>
        <v>-0.2289000000000101</v>
      </c>
      <c r="IC3">
        <f>-390.0146--389.5569</f>
        <v>-0.45769999999998845</v>
      </c>
      <c r="ID3">
        <f>-395.9656--395.05</f>
        <v>-0.91559999999998354</v>
      </c>
      <c r="IE3">
        <f>-394.8212--393.9056</f>
        <v>-0.91559999999998354</v>
      </c>
      <c r="IF3">
        <f>-396.4233--394.8212</f>
        <v>-1.6021000000000072</v>
      </c>
      <c r="IH3">
        <f>-394.3634--393.9056</f>
        <v>-0.45780000000002019</v>
      </c>
      <c r="II3">
        <f>-395.2789--395.05</f>
        <v>-0.2289000000000101</v>
      </c>
      <c r="IJ3">
        <f>-395.05--394.5923</f>
        <v>-0.45769999999998845</v>
      </c>
      <c r="IO3">
        <f>-482.4829--482.254</f>
        <v>-0.22889999999995325</v>
      </c>
      <c r="IP3">
        <f>-484.314--485.0006</f>
        <v>0.68659999999999854</v>
      </c>
      <c r="IQ3">
        <f>-392.5323--392.3035</f>
        <v>-0.2288000000000352</v>
      </c>
      <c r="IR3">
        <f>-393.9056--394.1345</f>
        <v>0.2289000000000101</v>
      </c>
      <c r="IS3">
        <f>-401.4587--401.001</f>
        <v>-0.45770000000004529</v>
      </c>
      <c r="IT3">
        <f>-408.783--408.5541</f>
        <v>-0.2289000000000101</v>
      </c>
      <c r="IU3">
        <f>-481.7963--482.4829</f>
        <v>0.68659999999999854</v>
      </c>
      <c r="IV3">
        <f>-394.3634--393.6768</f>
        <v>-0.68659999999999854</v>
      </c>
      <c r="IW3">
        <f>-392.5323--392.3035</f>
        <v>-0.2288000000000352</v>
      </c>
      <c r="IX3">
        <f>-395.05--394.3634</f>
        <v>-0.68659999999999854</v>
      </c>
      <c r="IY3">
        <f>-485.4584--484.5428</f>
        <v>-0.91559999999998354</v>
      </c>
      <c r="IZ3">
        <f>-487.2894--487.0605</f>
        <v>-0.2289000000000101</v>
      </c>
      <c r="JA3">
        <f>-484.0851--483.8562</f>
        <v>-0.2289000000000101</v>
      </c>
      <c r="JB3">
        <f>-484.7717--483.8562</f>
        <v>-0.91550000000000864</v>
      </c>
      <c r="JC3">
        <f>-398.4833--398.0255</f>
        <v>-0.45779999999996335</v>
      </c>
      <c r="JD3">
        <f>-385.437--384.7504</f>
        <v>-0.68659999999999854</v>
      </c>
      <c r="JE3">
        <f>-389.328--388.1836</f>
        <v>-1.1443999999999619</v>
      </c>
      <c r="JG3">
        <f>-388.6414--388.1836</f>
        <v>-0.45779999999996335</v>
      </c>
      <c r="JI3">
        <f>-389.0991--389.328</f>
        <v>0.22889999999995325</v>
      </c>
      <c r="JJ3">
        <f>-394.3634--394.1345</f>
        <v>-0.2289000000000101</v>
      </c>
      <c r="JK3">
        <f>-394.5923--394.8212</f>
        <v>0.22889999999995325</v>
      </c>
      <c r="JL3">
        <f>-389.328--389.0991</f>
        <v>-0.22889999999995325</v>
      </c>
      <c r="JN3">
        <f>-393.9056--393.219</f>
        <v>-0.68659999999999854</v>
      </c>
      <c r="JO3">
        <f>-395.2789--394.8212</f>
        <v>-0.45770000000004529</v>
      </c>
      <c r="JP3">
        <f>-395.7367--396.1945</f>
        <v>0.45780000000002019</v>
      </c>
      <c r="JQ3">
        <f>-392.9901--392.3035</f>
        <v>-0.68659999999999854</v>
      </c>
      <c r="JR3">
        <f>-394.3634--394.5923</f>
        <v>0.2289000000000101</v>
      </c>
      <c r="JS3">
        <f>-395.5078--395.2789</f>
        <v>-0.22889999999995325</v>
      </c>
      <c r="JT3">
        <f>-394.8212--394.5923</f>
        <v>-0.22889999999995325</v>
      </c>
      <c r="JU3">
        <f>-393.9056--393.6768</f>
        <v>-0.22879999999997835</v>
      </c>
      <c r="JX3">
        <f>-395.5078--395.7367</f>
        <v>0.2289000000000101</v>
      </c>
      <c r="JY3">
        <f>-438.3087--437.6221</f>
        <v>-0.68659999999999854</v>
      </c>
      <c r="JZ3">
        <f>-395.05--394.8212</f>
        <v>-0.2288000000000352</v>
      </c>
      <c r="KC3">
        <f>-393.9056--394.1345</f>
        <v>0.2289000000000101</v>
      </c>
      <c r="KD3">
        <f>-394.8212--393.6768</f>
        <v>-1.1443999999999619</v>
      </c>
      <c r="KE3">
        <f>-370.5597--371.4752</f>
        <v>0.9154999999999518</v>
      </c>
      <c r="KF3">
        <f>-395.7367--395.9656</f>
        <v>0.2289000000000101</v>
      </c>
      <c r="KG3">
        <f>-371.7041--371.4752</f>
        <v>-0.2289000000000101</v>
      </c>
      <c r="KK3">
        <f>-395.05--393.9056</f>
        <v>-1.1444000000000187</v>
      </c>
      <c r="KL3">
        <f>-394.1345--394.5923</f>
        <v>0.45780000000002019</v>
      </c>
      <c r="KM3">
        <f>-395.2789--394.5923</f>
        <v>-0.68659999999999854</v>
      </c>
      <c r="KN3">
        <f>-395.5078--395.2789</f>
        <v>-0.22889999999995325</v>
      </c>
      <c r="KO3">
        <f>-395.7367--395.05</f>
        <v>-0.68669999999997344</v>
      </c>
      <c r="KP3">
        <f>-394.1345--394.3634</f>
        <v>0.2289000000000101</v>
      </c>
      <c r="KQ3">
        <f>-405.3497--405.5786</f>
        <v>0.2289000000000101</v>
      </c>
      <c r="KR3">
        <f>-396.4233--395.9656</f>
        <v>-0.45769999999998845</v>
      </c>
      <c r="KS3">
        <f>-397.5677--398.0255</f>
        <v>0.45780000000002019</v>
      </c>
      <c r="KU3">
        <f>-396.8811--396.4233</f>
        <v>-0.45780000000002019</v>
      </c>
      <c r="KV3">
        <f>-394.8212--395.5078</f>
        <v>0.68659999999999854</v>
      </c>
      <c r="KW3">
        <f>-396.1945--395.9656</f>
        <v>-0.2289000000000101</v>
      </c>
      <c r="KX3">
        <f>-395.5078--395.7367</f>
        <v>0.2289000000000101</v>
      </c>
      <c r="KZ3">
        <f>-396.4233--397.11</f>
        <v>0.68670000000003029</v>
      </c>
      <c r="LA3">
        <f>-395.7367--395.9656</f>
        <v>0.2289000000000101</v>
      </c>
      <c r="LB3">
        <f>-395.05--395.5078</f>
        <v>0.45779999999996335</v>
      </c>
      <c r="LC3">
        <f>-395.5078--395.05</f>
        <v>-0.45779999999996335</v>
      </c>
      <c r="LD3">
        <f>-395.7367--395.05</f>
        <v>-0.68669999999997344</v>
      </c>
      <c r="LE3">
        <f>-371.2463--371.4752</f>
        <v>0.22889999999995325</v>
      </c>
      <c r="LG3">
        <f>-395.05--394.8212</f>
        <v>-0.2288000000000352</v>
      </c>
      <c r="LH3">
        <f>-394.3634--393.9056</f>
        <v>-0.45780000000002019</v>
      </c>
      <c r="LI3">
        <f>-394.8212--395.2789</f>
        <v>0.45770000000004529</v>
      </c>
      <c r="LK3">
        <f>-394.5923--393.9056</f>
        <v>-0.68670000000003029</v>
      </c>
      <c r="LL3">
        <f>-396.4233--395.7367</f>
        <v>-0.68659999999999854</v>
      </c>
      <c r="LM3">
        <f>-395.9656--395.2789</f>
        <v>-0.68669999999997344</v>
      </c>
      <c r="LO3">
        <f>-473.3276--473.0988</f>
        <v>-0.2288000000000352</v>
      </c>
      <c r="LP3">
        <f>-474.7009--474.0143</f>
        <v>-0.68659999999999854</v>
      </c>
      <c r="LQ3">
        <f>-480.1941--479.9652</f>
        <v>-0.2289000000000101</v>
      </c>
      <c r="LR3">
        <f>-394.5923--393.6768</f>
        <v>-0.91550000000000864</v>
      </c>
      <c r="LS3">
        <f>-394.5923--393.219</f>
        <v>-1.3733000000000288</v>
      </c>
      <c r="LT3">
        <f>-394.1345--393.6768</f>
        <v>-0.45769999999998845</v>
      </c>
      <c r="LU3">
        <f>-392.7612--391.8457</f>
        <v>-0.9154999999999518</v>
      </c>
      <c r="LV3">
        <f>-392.5323--391.6168</f>
        <v>-0.91550000000000864</v>
      </c>
      <c r="LW3">
        <f>-391.6168--392.0746</f>
        <v>0.45779999999996335</v>
      </c>
      <c r="LX3">
        <f>-390.7013--389.7858</f>
        <v>-0.91550000000000864</v>
      </c>
      <c r="LZ3">
        <f>-390.7013--389.7858</f>
        <v>-0.91550000000000864</v>
      </c>
      <c r="MA3">
        <f>-395.2789--394.5923</f>
        <v>-0.68659999999999854</v>
      </c>
      <c r="MB3">
        <f>-390.0146--389.7858</f>
        <v>-0.22879999999997835</v>
      </c>
      <c r="MD3">
        <f>-394.1345--393.6768</f>
        <v>-0.45769999999998845</v>
      </c>
      <c r="MF3">
        <f>-396.6522--395.5078</f>
        <v>-1.1444000000000187</v>
      </c>
      <c r="MH3">
        <f>-399.1699--398.7122</f>
        <v>-0.45769999999998845</v>
      </c>
      <c r="MI3">
        <f>-396.4233--395.7367</f>
        <v>-0.68659999999999854</v>
      </c>
      <c r="MK3">
        <f>-394.8212--395.2789</f>
        <v>0.45770000000004529</v>
      </c>
      <c r="ML3">
        <f>-348.8159--348.587</f>
        <v>-0.2289000000000101</v>
      </c>
      <c r="MN3">
        <f>-476.532--476.7609</f>
        <v>0.2289000000000101</v>
      </c>
      <c r="MO3">
        <f>-488.4338--487.9761</f>
        <v>-0.45770000000004529</v>
      </c>
      <c r="MQ3">
        <f>-482.4829--483.1696</f>
        <v>0.68670000000003029</v>
      </c>
      <c r="MR3">
        <f>-485.9161--486.145</f>
        <v>0.2289000000000101</v>
      </c>
      <c r="MS3">
        <f>-486.145--485.4584</f>
        <v>-0.68659999999999854</v>
      </c>
      <c r="MU3">
        <f>-405.8075--406.0364</f>
        <v>0.2289000000000101</v>
      </c>
      <c r="MV3">
        <f>-401.9165--401.4587</f>
        <v>-0.45779999999996335</v>
      </c>
      <c r="MW3">
        <f>-395.7367--396.1945</f>
        <v>0.45780000000002019</v>
      </c>
      <c r="MY3">
        <f>-490.7227--491.1804</f>
        <v>0.45770000000004529</v>
      </c>
      <c r="MZ3">
        <f>-483.6273--482.7118</f>
        <v>-0.91550000000000864</v>
      </c>
      <c r="NA3">
        <f>-463.4857--465.5457</f>
        <v>2.0600000000000023</v>
      </c>
      <c r="NB3">
        <f>-387.2681--386.8103</f>
        <v>-0.45780000000002019</v>
      </c>
      <c r="NC3">
        <f>-388.8702--388.4125</f>
        <v>-0.45769999999998845</v>
      </c>
      <c r="ND3">
        <f>-389.0991--388.4125</f>
        <v>-0.68659999999999854</v>
      </c>
      <c r="NE3">
        <f>-388.1836--388.4125</f>
        <v>0.2289000000000101</v>
      </c>
      <c r="NF3">
        <f>-389.0991--388.8702</f>
        <v>-0.2289000000000101</v>
      </c>
      <c r="NG3">
        <f>-389.0991--388.1836</f>
        <v>-0.91550000000000864</v>
      </c>
      <c r="NH3">
        <f>-393.6768--393.4479</f>
        <v>-0.2289000000000101</v>
      </c>
      <c r="NI3">
        <f>-390.7013--390.2435</f>
        <v>-0.45780000000002019</v>
      </c>
      <c r="NJ3">
        <f>-396.1945--395.9656</f>
        <v>-0.2289000000000101</v>
      </c>
      <c r="NK3">
        <f>-389.7858--390.0146</f>
        <v>0.22879999999997835</v>
      </c>
      <c r="NL3">
        <f>-389.5569--390.0146</f>
        <v>0.45769999999998845</v>
      </c>
      <c r="NM3">
        <f>-395.05--394.8212</f>
        <v>-0.2288000000000352</v>
      </c>
      <c r="NN3">
        <f>-389.328--389.7858</f>
        <v>0.45780000000002019</v>
      </c>
      <c r="NO3">
        <f>-395.2789--394.3634</f>
        <v>-0.91550000000000864</v>
      </c>
      <c r="NP3">
        <f>-396.4233--396.8811</f>
        <v>0.45780000000002019</v>
      </c>
      <c r="NT3">
        <f>-394.1345--393.6768</f>
        <v>-0.45769999999998845</v>
      </c>
      <c r="NU3">
        <f>-394.5923--394.8212</f>
        <v>0.22889999999995325</v>
      </c>
      <c r="NV3">
        <f>-394.1345--394.3634</f>
        <v>0.2289000000000101</v>
      </c>
      <c r="NW3">
        <f>-404.6631--405.1208</f>
        <v>0.45769999999998845</v>
      </c>
      <c r="NY3">
        <f>-395.2789--394.5923</f>
        <v>-0.68659999999999854</v>
      </c>
      <c r="NZ3">
        <f>-394.3634--395.2789</f>
        <v>0.91550000000000864</v>
      </c>
      <c r="OA3">
        <f>-396.6522--396.1945</f>
        <v>-0.45769999999998845</v>
      </c>
      <c r="OB3">
        <f>-371.0175--370.3308</f>
        <v>-0.68669999999997344</v>
      </c>
      <c r="OE3">
        <f>-371.4752--371.2463</f>
        <v>-0.22889999999995325</v>
      </c>
      <c r="OF3">
        <f>-371.933--372.1619</f>
        <v>0.2289000000000101</v>
      </c>
      <c r="OG3">
        <f>-396.4233--395.7367</f>
        <v>-0.68659999999999854</v>
      </c>
      <c r="OH3">
        <f>-394.3634--394.8212</f>
        <v>0.45779999999996335</v>
      </c>
      <c r="OI3">
        <f>-396.1945--395.7367</f>
        <v>-0.45780000000002019</v>
      </c>
      <c r="OJ3">
        <f>-395.05--395.7367</f>
        <v>0.68669999999997344</v>
      </c>
      <c r="OK3">
        <f>-396.4233--395.7367</f>
        <v>-0.68659999999999854</v>
      </c>
      <c r="OM3">
        <f>-395.7367--395.2789</f>
        <v>-0.45779999999996335</v>
      </c>
      <c r="OO3">
        <f>-395.05--394.5923</f>
        <v>-0.45769999999998845</v>
      </c>
      <c r="OP3">
        <f>-398.2544--399.1699</f>
        <v>0.91550000000000864</v>
      </c>
      <c r="QE3">
        <v>-1</v>
      </c>
      <c r="QF3">
        <v>-1</v>
      </c>
      <c r="QG3">
        <v>-1</v>
      </c>
      <c r="QH3">
        <v>-1</v>
      </c>
      <c r="QI3">
        <v>-1</v>
      </c>
      <c r="QJ3">
        <v>-1</v>
      </c>
      <c r="QK3">
        <v>-1</v>
      </c>
      <c r="QL3">
        <v>-1</v>
      </c>
    </row>
    <row r="4" spans="1:454" x14ac:dyDescent="0.25">
      <c r="A4" t="s">
        <v>1018</v>
      </c>
      <c r="B4" t="s">
        <v>1019</v>
      </c>
      <c r="C4" t="s">
        <v>1020</v>
      </c>
      <c r="D4" t="s">
        <v>988</v>
      </c>
      <c r="E4" t="s">
        <v>1021</v>
      </c>
      <c r="F4" t="s">
        <v>1022</v>
      </c>
      <c r="G4" t="s">
        <v>928</v>
      </c>
      <c r="H4" t="s">
        <v>1023</v>
      </c>
      <c r="I4" t="s">
        <v>1024</v>
      </c>
      <c r="J4" t="s">
        <v>1025</v>
      </c>
      <c r="K4" t="s">
        <v>1026</v>
      </c>
      <c r="L4" t="s">
        <v>1027</v>
      </c>
      <c r="M4" t="s">
        <v>1028</v>
      </c>
      <c r="N4" t="s">
        <v>1029</v>
      </c>
      <c r="O4" t="s">
        <v>1030</v>
      </c>
      <c r="P4" t="s">
        <v>1031</v>
      </c>
      <c r="Q4" t="s">
        <v>1032</v>
      </c>
      <c r="S4" t="s">
        <v>1033</v>
      </c>
      <c r="U4" t="s">
        <v>1034</v>
      </c>
      <c r="V4" t="s">
        <v>1035</v>
      </c>
      <c r="W4" t="s">
        <v>1036</v>
      </c>
      <c r="X4" t="s">
        <v>1037</v>
      </c>
      <c r="Y4" t="s">
        <v>1038</v>
      </c>
      <c r="Z4" t="s">
        <v>1039</v>
      </c>
      <c r="AA4" t="s">
        <v>1040</v>
      </c>
      <c r="AB4" t="s">
        <v>1041</v>
      </c>
      <c r="AC4" t="s">
        <v>1042</v>
      </c>
      <c r="AD4" t="s">
        <v>1043</v>
      </c>
      <c r="AE4" t="s">
        <v>1044</v>
      </c>
      <c r="AF4" t="s">
        <v>1045</v>
      </c>
      <c r="AG4" t="s">
        <v>1046</v>
      </c>
      <c r="AH4" t="s">
        <v>1047</v>
      </c>
      <c r="AI4" t="s">
        <v>1048</v>
      </c>
      <c r="AJ4" t="s">
        <v>1049</v>
      </c>
      <c r="AK4" t="s">
        <v>1050</v>
      </c>
      <c r="AL4" t="s">
        <v>1032</v>
      </c>
      <c r="AM4" t="s">
        <v>1051</v>
      </c>
      <c r="AN4" t="s">
        <v>1052</v>
      </c>
      <c r="AP4" t="s">
        <v>1053</v>
      </c>
      <c r="AQ4" t="s">
        <v>1054</v>
      </c>
      <c r="AR4" t="s">
        <v>1055</v>
      </c>
      <c r="AS4" t="s">
        <v>1056</v>
      </c>
      <c r="AT4" t="s">
        <v>1057</v>
      </c>
      <c r="AU4" t="s">
        <v>1058</v>
      </c>
      <c r="AW4" t="s">
        <v>1059</v>
      </c>
      <c r="AX4" t="s">
        <v>988</v>
      </c>
      <c r="AY4" t="s">
        <v>1060</v>
      </c>
      <c r="AZ4" t="s">
        <v>988</v>
      </c>
      <c r="BA4" t="s">
        <v>1061</v>
      </c>
      <c r="BB4" t="s">
        <v>1062</v>
      </c>
      <c r="BC4" t="s">
        <v>1063</v>
      </c>
      <c r="BD4" t="s">
        <v>1064</v>
      </c>
      <c r="BE4" t="s">
        <v>1065</v>
      </c>
      <c r="BF4" t="s">
        <v>1066</v>
      </c>
      <c r="BG4" t="s">
        <v>908</v>
      </c>
      <c r="BH4" t="s">
        <v>1067</v>
      </c>
      <c r="BI4" t="s">
        <v>1068</v>
      </c>
      <c r="BJ4" t="s">
        <v>1069</v>
      </c>
      <c r="BK4" t="s">
        <v>1070</v>
      </c>
      <c r="BL4" t="s">
        <v>1071</v>
      </c>
      <c r="BM4" t="s">
        <v>1072</v>
      </c>
      <c r="BN4" t="s">
        <v>897</v>
      </c>
      <c r="BO4" t="s">
        <v>1073</v>
      </c>
      <c r="BP4" t="s">
        <v>1074</v>
      </c>
      <c r="BQ4" t="s">
        <v>1075</v>
      </c>
      <c r="BR4" t="s">
        <v>903</v>
      </c>
      <c r="BS4" t="s">
        <v>961</v>
      </c>
      <c r="BU4" t="s">
        <v>1076</v>
      </c>
      <c r="BV4" t="s">
        <v>1077</v>
      </c>
      <c r="BW4" t="s">
        <v>920</v>
      </c>
      <c r="BX4" t="s">
        <v>1078</v>
      </c>
      <c r="BY4" t="s">
        <v>1079</v>
      </c>
      <c r="BZ4" t="s">
        <v>893</v>
      </c>
      <c r="CA4" t="s">
        <v>1080</v>
      </c>
      <c r="CB4" t="s">
        <v>1081</v>
      </c>
      <c r="CC4" t="s">
        <v>878</v>
      </c>
      <c r="CD4" t="s">
        <v>1002</v>
      </c>
      <c r="CF4" t="s">
        <v>878</v>
      </c>
      <c r="CG4" t="s">
        <v>1082</v>
      </c>
      <c r="CI4" t="s">
        <v>1083</v>
      </c>
      <c r="CJ4" t="s">
        <v>1084</v>
      </c>
      <c r="CK4" t="s">
        <v>1085</v>
      </c>
      <c r="CL4" t="s">
        <v>1086</v>
      </c>
      <c r="CM4" t="s">
        <v>1087</v>
      </c>
      <c r="CN4" t="s">
        <v>1088</v>
      </c>
      <c r="CO4" t="s">
        <v>1089</v>
      </c>
      <c r="CP4" t="s">
        <v>1005</v>
      </c>
      <c r="CQ4" t="s">
        <v>1090</v>
      </c>
      <c r="CR4" t="s">
        <v>1091</v>
      </c>
      <c r="CS4" t="s">
        <v>1092</v>
      </c>
      <c r="CT4" t="s">
        <v>1093</v>
      </c>
      <c r="CU4" t="s">
        <v>1094</v>
      </c>
      <c r="CV4" t="s">
        <v>1095</v>
      </c>
      <c r="CW4" t="s">
        <v>1096</v>
      </c>
      <c r="CX4" t="s">
        <v>1097</v>
      </c>
      <c r="CY4" t="s">
        <v>1022</v>
      </c>
      <c r="CZ4" t="s">
        <v>1098</v>
      </c>
      <c r="DA4" t="s">
        <v>1099</v>
      </c>
      <c r="DB4" t="s">
        <v>1100</v>
      </c>
      <c r="DC4" t="s">
        <v>1101</v>
      </c>
      <c r="DD4" t="s">
        <v>1102</v>
      </c>
      <c r="DE4" t="s">
        <v>1103</v>
      </c>
      <c r="DF4" t="s">
        <v>1104</v>
      </c>
      <c r="DG4" t="s">
        <v>1105</v>
      </c>
      <c r="DH4" t="s">
        <v>1106</v>
      </c>
      <c r="DI4" t="s">
        <v>1045</v>
      </c>
      <c r="DJ4" t="s">
        <v>1097</v>
      </c>
      <c r="DK4" t="s">
        <v>1107</v>
      </c>
      <c r="DL4" t="s">
        <v>961</v>
      </c>
      <c r="DO4" t="s">
        <v>988</v>
      </c>
      <c r="DP4" t="s">
        <v>1108</v>
      </c>
      <c r="DQ4" t="s">
        <v>1109</v>
      </c>
      <c r="DR4" t="s">
        <v>1110</v>
      </c>
      <c r="DS4" t="s">
        <v>1111</v>
      </c>
      <c r="DT4" t="s">
        <v>1112</v>
      </c>
      <c r="DU4" t="s">
        <v>1113</v>
      </c>
      <c r="DV4" t="s">
        <v>1114</v>
      </c>
      <c r="DW4" t="s">
        <v>1115</v>
      </c>
      <c r="DX4" t="s">
        <v>1043</v>
      </c>
      <c r="DY4" t="s">
        <v>1116</v>
      </c>
      <c r="DZ4" t="s">
        <v>1117</v>
      </c>
      <c r="EA4" t="s">
        <v>1118</v>
      </c>
      <c r="EB4" t="s">
        <v>1103</v>
      </c>
      <c r="EC4" t="s">
        <v>1119</v>
      </c>
      <c r="ED4" t="s">
        <v>1120</v>
      </c>
      <c r="EF4" t="s">
        <v>1121</v>
      </c>
      <c r="EG4" t="s">
        <v>1122</v>
      </c>
      <c r="EI4" t="s">
        <v>1123</v>
      </c>
      <c r="EJ4" t="s">
        <v>896</v>
      </c>
      <c r="EK4" t="s">
        <v>972</v>
      </c>
      <c r="EL4" t="s">
        <v>1124</v>
      </c>
      <c r="EM4" t="s">
        <v>1125</v>
      </c>
      <c r="EN4" t="s">
        <v>1126</v>
      </c>
      <c r="EO4" t="s">
        <v>1127</v>
      </c>
      <c r="EP4" t="s">
        <v>1128</v>
      </c>
      <c r="EQ4" t="s">
        <v>1129</v>
      </c>
      <c r="ER4" t="s">
        <v>1130</v>
      </c>
      <c r="ES4" t="s">
        <v>1131</v>
      </c>
      <c r="EU4" t="s">
        <v>1132</v>
      </c>
      <c r="EV4" t="s">
        <v>1133</v>
      </c>
      <c r="EW4" t="s">
        <v>1134</v>
      </c>
      <c r="EX4" t="s">
        <v>982</v>
      </c>
      <c r="EY4" t="s">
        <v>1135</v>
      </c>
      <c r="EZ4" t="s">
        <v>1136</v>
      </c>
      <c r="FA4" t="s">
        <v>921</v>
      </c>
      <c r="FB4" t="s">
        <v>1062</v>
      </c>
      <c r="FC4" t="s">
        <v>1137</v>
      </c>
      <c r="FD4" t="s">
        <v>1138</v>
      </c>
      <c r="FE4" t="s">
        <v>1139</v>
      </c>
      <c r="FF4" t="s">
        <v>1140</v>
      </c>
      <c r="FG4" t="s">
        <v>1141</v>
      </c>
      <c r="FH4" t="s">
        <v>1060</v>
      </c>
      <c r="FI4" t="s">
        <v>1142</v>
      </c>
      <c r="FJ4" t="s">
        <v>1143</v>
      </c>
      <c r="FK4" t="s">
        <v>1144</v>
      </c>
      <c r="FL4" t="s">
        <v>1145</v>
      </c>
      <c r="FN4" t="s">
        <v>1033</v>
      </c>
      <c r="FO4" t="s">
        <v>1146</v>
      </c>
      <c r="FP4" t="s">
        <v>903</v>
      </c>
      <c r="FQ4" t="s">
        <v>1147</v>
      </c>
      <c r="FR4" t="s">
        <v>1148</v>
      </c>
      <c r="FS4" t="s">
        <v>1149</v>
      </c>
      <c r="FT4" t="s">
        <v>1150</v>
      </c>
      <c r="FU4" t="s">
        <v>1151</v>
      </c>
      <c r="FV4" t="s">
        <v>913</v>
      </c>
      <c r="FW4" t="s">
        <v>1152</v>
      </c>
      <c r="FX4" t="s">
        <v>1008</v>
      </c>
      <c r="FY4" t="s">
        <v>1005</v>
      </c>
      <c r="FZ4" t="s">
        <v>965</v>
      </c>
      <c r="GA4" t="s">
        <v>1153</v>
      </c>
      <c r="GB4" t="s">
        <v>1154</v>
      </c>
      <c r="GC4" t="s">
        <v>1155</v>
      </c>
      <c r="GD4" t="s">
        <v>1090</v>
      </c>
      <c r="GE4" t="s">
        <v>1156</v>
      </c>
      <c r="GF4" t="s">
        <v>1157</v>
      </c>
      <c r="GG4" t="s">
        <v>1098</v>
      </c>
      <c r="GI4" t="s">
        <v>1158</v>
      </c>
      <c r="GK4" t="s">
        <v>924</v>
      </c>
      <c r="GL4" t="s">
        <v>1159</v>
      </c>
      <c r="GM4" t="s">
        <v>1004</v>
      </c>
      <c r="GN4" t="s">
        <v>1160</v>
      </c>
      <c r="GO4" t="s">
        <v>1161</v>
      </c>
      <c r="GP4" t="s">
        <v>1162</v>
      </c>
      <c r="GQ4" t="s">
        <v>1163</v>
      </c>
      <c r="GR4" t="s">
        <v>1152</v>
      </c>
      <c r="GS4" t="s">
        <v>1164</v>
      </c>
      <c r="GT4" t="s">
        <v>944</v>
      </c>
      <c r="GU4" t="s">
        <v>1165</v>
      </c>
      <c r="GV4" t="s">
        <v>1166</v>
      </c>
      <c r="GW4">
        <f>-397.11--395.5078</f>
        <v>-1.6022000000000389</v>
      </c>
      <c r="GX4">
        <f>-395.2789--394.3634</f>
        <v>-0.91550000000000864</v>
      </c>
      <c r="GZ4">
        <f>-396.8811--396.6522</f>
        <v>-0.2289000000000101</v>
      </c>
      <c r="HA4">
        <f>-396.1945--395.9656</f>
        <v>-0.2289000000000101</v>
      </c>
      <c r="HC4">
        <f>-398.0255--397.5677</f>
        <v>-0.45780000000002019</v>
      </c>
      <c r="HD4">
        <f>-396.8811--396.6522</f>
        <v>-0.2289000000000101</v>
      </c>
      <c r="HE4">
        <f>-397.7966--396.1945</f>
        <v>-1.6021000000000072</v>
      </c>
      <c r="HG4">
        <f>-395.5078--395.2789</f>
        <v>-0.22889999999995325</v>
      </c>
      <c r="HH4">
        <f>-396.6522--395.9656</f>
        <v>-0.68659999999999854</v>
      </c>
      <c r="HI4">
        <f>-394.8212--393.9056</f>
        <v>-0.91559999999998354</v>
      </c>
      <c r="HJ4">
        <f>-396.1945--395.05</f>
        <v>-1.1444999999999936</v>
      </c>
      <c r="HK4">
        <f>-371.933--371.0175</f>
        <v>-0.91550000000000864</v>
      </c>
      <c r="HL4">
        <f>-371.2463--371.4752</f>
        <v>0.22889999999995325</v>
      </c>
      <c r="HN4">
        <f>-394.5923--394.8212</f>
        <v>0.22889999999995325</v>
      </c>
      <c r="HO4">
        <f>-395.5078--395.05</f>
        <v>-0.45779999999996335</v>
      </c>
      <c r="HP4">
        <f>-394.5923--395.05</f>
        <v>0.45769999999998845</v>
      </c>
      <c r="HQ4">
        <f>-394.8212--394.3634</f>
        <v>-0.45779999999996335</v>
      </c>
      <c r="HR4">
        <f>-436.0199--435.3333</f>
        <v>-0.68659999999999854</v>
      </c>
      <c r="HS4">
        <f>-479.7363--479.2786</f>
        <v>-0.45770000000004529</v>
      </c>
      <c r="HU4">
        <f>-486.6028--485.9161</f>
        <v>-0.68670000000003029</v>
      </c>
      <c r="HV4">
        <f>-397.3389--395.7367</f>
        <v>-1.6022000000000389</v>
      </c>
      <c r="HW4">
        <f>-397.5677--396.6522</f>
        <v>-0.91550000000000864</v>
      </c>
      <c r="HX4">
        <f>-396.1945--394.5923</f>
        <v>-1.6021999999999821</v>
      </c>
      <c r="HY4">
        <f>-393.9056--393.6768</f>
        <v>-0.22879999999997835</v>
      </c>
      <c r="HZ4">
        <f>-391.6168--390.9302</f>
        <v>-0.68659999999999854</v>
      </c>
      <c r="IA4">
        <f>-392.9901--391.8457</f>
        <v>-1.1443999999999619</v>
      </c>
      <c r="IB4">
        <f>-390.7013--390.2435</f>
        <v>-0.45780000000002019</v>
      </c>
      <c r="IC4">
        <f>-391.8457--391.1591</f>
        <v>-0.68659999999999854</v>
      </c>
      <c r="ID4">
        <f>-396.1945--394.8212</f>
        <v>-1.3733000000000288</v>
      </c>
      <c r="IE4">
        <f>-395.7367--394.3634</f>
        <v>-1.373299999999972</v>
      </c>
      <c r="IF4">
        <f>-396.4233--395.2789</f>
        <v>-1.1443999999999619</v>
      </c>
      <c r="IG4">
        <f>-394.5923--393.9056</f>
        <v>-0.68670000000003029</v>
      </c>
      <c r="II4">
        <f>-397.5677--396.6522</f>
        <v>-0.91550000000000864</v>
      </c>
      <c r="IJ4">
        <f>-396.4233--395.05</f>
        <v>-1.373299999999972</v>
      </c>
      <c r="IK4">
        <f>-395.05--394.8212</f>
        <v>-0.2288000000000352</v>
      </c>
      <c r="IL4">
        <f>-355.6824--354.7668</f>
        <v>-0.91559999999998354</v>
      </c>
      <c r="IM4">
        <f>-320.6635--319.7479</f>
        <v>-0.91559999999998354</v>
      </c>
      <c r="IN4">
        <f>-392.9901--393.4479</f>
        <v>0.45780000000002019</v>
      </c>
      <c r="IO4">
        <f>-480.6519--480.1941</f>
        <v>-0.45780000000002019</v>
      </c>
      <c r="IP4">
        <f>-486.3739--485.6873</f>
        <v>-0.68659999999999854</v>
      </c>
      <c r="IR4">
        <f>-397.7966--397.11</f>
        <v>-0.68659999999999854</v>
      </c>
      <c r="IS4">
        <f>-400.7721--399.8566</f>
        <v>-0.91550000000000864</v>
      </c>
      <c r="IT4">
        <f>-397.5677--397.11</f>
        <v>-0.45769999999998845</v>
      </c>
      <c r="IU4">
        <f>-483.1696--482.7118</f>
        <v>-0.45780000000002019</v>
      </c>
      <c r="IV4">
        <f>-397.3389--396.4233</f>
        <v>-0.91560000000004038</v>
      </c>
      <c r="IW4">
        <f>-391.3879--391.1591</f>
        <v>-0.22879999999997835</v>
      </c>
      <c r="IX4">
        <f>-395.2789--394.8212</f>
        <v>-0.45770000000004529</v>
      </c>
      <c r="IY4">
        <f>-485.2295--483.8562</f>
        <v>-1.373299999999972</v>
      </c>
      <c r="JA4">
        <f>-481.1096--481.7963</f>
        <v>0.68669999999997344</v>
      </c>
      <c r="JB4">
        <f>-482.0251--482.7118</f>
        <v>0.68669999999997344</v>
      </c>
      <c r="JC4">
        <f>-393.6768--393.4479</f>
        <v>-0.2289000000000101</v>
      </c>
      <c r="JD4">
        <f>-386.8103--385.6659</f>
        <v>-1.1443999999999619</v>
      </c>
      <c r="JE4">
        <f>-389.0991--387.7258</f>
        <v>-1.3733000000000288</v>
      </c>
      <c r="JF4">
        <f>-388.6414--387.7258</f>
        <v>-0.91559999999998354</v>
      </c>
      <c r="JG4">
        <f>-387.9547--387.7258</f>
        <v>-0.2289000000000101</v>
      </c>
      <c r="JH4">
        <f>-395.05--394.5923</f>
        <v>-0.45769999999998845</v>
      </c>
      <c r="JI4">
        <f>-388.8702--388.4125</f>
        <v>-0.45769999999998845</v>
      </c>
      <c r="JJ4">
        <f>-393.9056--392.7612</f>
        <v>-1.1444000000000187</v>
      </c>
      <c r="JK4">
        <f>-397.5677--394.8212</f>
        <v>-2.7465000000000259</v>
      </c>
      <c r="JL4">
        <f>-390.0146--389.5569</f>
        <v>-0.45769999999998845</v>
      </c>
      <c r="JM4">
        <f>-394.3634--394.5923</f>
        <v>0.2289000000000101</v>
      </c>
      <c r="JN4">
        <f>-396.4233--394.3634</f>
        <v>-2.0598999999999705</v>
      </c>
      <c r="JO4">
        <f>-395.9656--393.4479</f>
        <v>-2.5176999999999907</v>
      </c>
      <c r="JP4">
        <f>-393.6768--392.9901</f>
        <v>-0.68670000000003029</v>
      </c>
      <c r="JQ4">
        <f>-392.9901--392.0746</f>
        <v>-0.91550000000000864</v>
      </c>
      <c r="JR4">
        <f>-392.9901--392.5323</f>
        <v>-0.45779999999996335</v>
      </c>
      <c r="JS4">
        <f>-397.3389--396.6522</f>
        <v>-0.68670000000003029</v>
      </c>
      <c r="JT4">
        <f>-396.4233--395.7367</f>
        <v>-0.68659999999999854</v>
      </c>
      <c r="JU4">
        <f>-394.8212--393.4479</f>
        <v>-1.373299999999972</v>
      </c>
      <c r="JV4">
        <f>-396.1945--395.7367</f>
        <v>-0.45780000000002019</v>
      </c>
      <c r="JW4">
        <f>-395.5078--395.9656</f>
        <v>0.45780000000002019</v>
      </c>
      <c r="JX4">
        <f>-396.4233--395.7367</f>
        <v>-0.68659999999999854</v>
      </c>
      <c r="JY4">
        <f>-440.3687--440.5975</f>
        <v>0.2288000000000352</v>
      </c>
      <c r="JZ4">
        <f>-394.1345--393.4479</f>
        <v>-0.68659999999999854</v>
      </c>
      <c r="KA4">
        <f>-396.6522--396.4233</f>
        <v>-0.2289000000000101</v>
      </c>
      <c r="KC4">
        <f>-393.4479--394.1345</f>
        <v>0.68659999999999854</v>
      </c>
      <c r="KD4">
        <f>-398.0255--397.11</f>
        <v>-0.91550000000000864</v>
      </c>
      <c r="KE4">
        <f>-372.6196--373.5352</f>
        <v>0.91559999999998354</v>
      </c>
      <c r="KF4">
        <f>-396.8811--396.4233</f>
        <v>-0.45780000000002019</v>
      </c>
      <c r="KG4">
        <f>-371.7041--371.4752</f>
        <v>-0.2289000000000101</v>
      </c>
      <c r="KH4">
        <f>-373.3063--372.6196</f>
        <v>-0.68670000000003029</v>
      </c>
      <c r="KJ4">
        <f>-395.7367--395.05</f>
        <v>-0.68669999999997344</v>
      </c>
      <c r="KK4">
        <f>-395.9656--395.7367</f>
        <v>-0.2289000000000101</v>
      </c>
      <c r="KL4">
        <f>-395.7367--395.2789</f>
        <v>-0.45779999999996335</v>
      </c>
      <c r="KO4">
        <f>-397.7966--394.8212</f>
        <v>-2.975400000000036</v>
      </c>
      <c r="KP4">
        <f>-396.4233--394.8212</f>
        <v>-1.6021000000000072</v>
      </c>
      <c r="KQ4">
        <f>-400.0854--399.6277</f>
        <v>-0.45769999999998845</v>
      </c>
      <c r="KR4">
        <f>-395.05--394.5923</f>
        <v>-0.45769999999998845</v>
      </c>
      <c r="KS4">
        <f>-398.4833--397.3389</f>
        <v>-1.1443999999999619</v>
      </c>
      <c r="KT4">
        <f>-397.3389--396.1945</f>
        <v>-1.1444000000000187</v>
      </c>
      <c r="KU4">
        <f>-398.941--398.2544</f>
        <v>-0.68659999999999854</v>
      </c>
      <c r="KV4">
        <f>-397.7966--397.5677</f>
        <v>-0.2289000000000101</v>
      </c>
      <c r="KY4">
        <f>-396.4233--395.9656</f>
        <v>-0.45769999999998845</v>
      </c>
      <c r="KZ4">
        <f>-394.8212--395.2789</f>
        <v>0.45770000000004529</v>
      </c>
      <c r="LA4">
        <f>-395.9656--395.5078</f>
        <v>-0.45780000000002019</v>
      </c>
      <c r="LB4">
        <f>-393.6768--394.1345</f>
        <v>0.45769999999998845</v>
      </c>
      <c r="LC4">
        <f>-394.5923--393.6768</f>
        <v>-0.91550000000000864</v>
      </c>
      <c r="LD4">
        <f>-396.6522--396.4233</f>
        <v>-0.2289000000000101</v>
      </c>
      <c r="LE4">
        <f>-372.1619--371.2463</f>
        <v>-0.91559999999998354</v>
      </c>
      <c r="LF4">
        <f>-371.0175--369.873</f>
        <v>-1.1444999999999936</v>
      </c>
      <c r="LG4">
        <f>-394.1345--393.9056</f>
        <v>-0.2289000000000101</v>
      </c>
      <c r="LH4">
        <f>-395.7367--395.05</f>
        <v>-0.68669999999997344</v>
      </c>
      <c r="LI4">
        <f>-395.5078--394.8212</f>
        <v>-0.68659999999999854</v>
      </c>
      <c r="LJ4">
        <f>-394.8212--393.9056</f>
        <v>-0.91559999999998354</v>
      </c>
      <c r="LL4">
        <f>-396.8811--395.7367</f>
        <v>-1.1444000000000187</v>
      </c>
      <c r="LM4">
        <f>-395.05--394.5923</f>
        <v>-0.45769999999998845</v>
      </c>
      <c r="LN4">
        <f>-397.7966--397.3389</f>
        <v>-0.45769999999998845</v>
      </c>
      <c r="LO4">
        <f>-474.0143--473.5565</f>
        <v>-0.45779999999996335</v>
      </c>
      <c r="LP4">
        <f>-476.3031--475.3876</f>
        <v>-0.9154999999999518</v>
      </c>
      <c r="LQ4">
        <f>-480.423--480.8807</f>
        <v>0.45769999999998845</v>
      </c>
      <c r="LR4">
        <f>-395.9656--394.1345</f>
        <v>-1.8310999999999922</v>
      </c>
      <c r="LS4">
        <f>-394.8212--393.219</f>
        <v>-1.6021999999999821</v>
      </c>
      <c r="LT4">
        <f>-394.3634--393.6768</f>
        <v>-0.68659999999999854</v>
      </c>
      <c r="LU4">
        <f>-395.2789--393.219</f>
        <v>-2.0599000000000274</v>
      </c>
      <c r="LV4">
        <f>-392.5323--391.3879</f>
        <v>-1.1444000000000187</v>
      </c>
      <c r="LW4">
        <f>-392.5323--391.3879</f>
        <v>-1.1444000000000187</v>
      </c>
      <c r="LX4">
        <f>-391.8457--391.3879</f>
        <v>-0.45780000000002019</v>
      </c>
      <c r="LY4">
        <f>-391.6168--390.4724</f>
        <v>-1.1444000000000187</v>
      </c>
      <c r="LZ4">
        <f>-391.8457--390.7013</f>
        <v>-1.1444000000000187</v>
      </c>
      <c r="MA4">
        <f>-395.5078--395.05</f>
        <v>-0.45779999999996335</v>
      </c>
      <c r="MB4">
        <f>-390.9302--390.4724</f>
        <v>-0.45780000000002019</v>
      </c>
      <c r="MC4">
        <f>-397.11--396.8811</f>
        <v>-0.2289000000000101</v>
      </c>
      <c r="MD4">
        <f>-394.8212--393.219</f>
        <v>-1.6021999999999821</v>
      </c>
      <c r="ME4">
        <f>-394.1345--393.6768</f>
        <v>-0.45769999999998845</v>
      </c>
      <c r="MF4">
        <f>-397.11--396.4233</f>
        <v>-0.68670000000003029</v>
      </c>
      <c r="MH4">
        <f>-404.6631--404.4342</f>
        <v>-0.2289000000000101</v>
      </c>
      <c r="MI4">
        <f>-396.6522--395.7367</f>
        <v>-0.91550000000000864</v>
      </c>
      <c r="MJ4">
        <f>-396.4233--396.1945</f>
        <v>-0.22879999999997835</v>
      </c>
      <c r="MK4">
        <f>-395.2789--395.5078</f>
        <v>0.22889999999995325</v>
      </c>
      <c r="ML4">
        <f>-352.0203--350.647</f>
        <v>-1.3733000000000288</v>
      </c>
      <c r="MM4">
        <f>-317.9169--316.3147</f>
        <v>-1.6021999999999821</v>
      </c>
      <c r="MN4">
        <f>-476.7609--475.8453</f>
        <v>-0.91559999999998354</v>
      </c>
      <c r="MO4">
        <f>-484.7717--484.314</f>
        <v>-0.45769999999998845</v>
      </c>
      <c r="MP4">
        <f>-397.11--396.4233</f>
        <v>-0.68670000000003029</v>
      </c>
      <c r="MQ4">
        <f>-482.0251--482.254</f>
        <v>0.2289000000000101</v>
      </c>
      <c r="MR4">
        <f>-483.1696--482.9407</f>
        <v>-0.2289000000000101</v>
      </c>
      <c r="MS4">
        <f>-488.205--486.6028</f>
        <v>-1.6021999999999821</v>
      </c>
      <c r="MT4">
        <f>-402.832--402.1454</f>
        <v>-0.68659999999999854</v>
      </c>
      <c r="MU4">
        <f>-395.7367--396.1945</f>
        <v>0.45780000000002019</v>
      </c>
      <c r="MV4">
        <f>-407.8674--407.1808</f>
        <v>-0.68659999999999854</v>
      </c>
      <c r="MW4">
        <f>-402.832--402.3743</f>
        <v>-0.45769999999998845</v>
      </c>
      <c r="MX4">
        <f>-491.1804--490.036</f>
        <v>-1.1444000000000187</v>
      </c>
      <c r="MY4">
        <f>-488.4338--487.9761</f>
        <v>-0.45770000000004529</v>
      </c>
      <c r="MZ4">
        <f>-487.7472--486.3739</f>
        <v>-1.3733000000000288</v>
      </c>
      <c r="NA4">
        <f>-461.1969--460.2814</f>
        <v>-0.91550000000000864</v>
      </c>
      <c r="NB4">
        <f>-387.4969--386.8103</f>
        <v>-0.68659999999999854</v>
      </c>
      <c r="NC4">
        <f>-390.0146--388.6414</f>
        <v>-1.3731999999999971</v>
      </c>
      <c r="ND4">
        <f>-387.9547--387.0392</f>
        <v>-0.91550000000000864</v>
      </c>
      <c r="NE4">
        <f>-388.8702--388.1836</f>
        <v>-0.68659999999999854</v>
      </c>
      <c r="NF4">
        <f>-389.0991--388.6414</f>
        <v>-0.45770000000004529</v>
      </c>
      <c r="NG4">
        <f>-390.7013--390.0146</f>
        <v>-0.68670000000003029</v>
      </c>
      <c r="NI4">
        <f>-391.3879--390.4724</f>
        <v>-0.91550000000000864</v>
      </c>
      <c r="NJ4">
        <f>-395.05--394.1345</f>
        <v>-0.91550000000000864</v>
      </c>
      <c r="NL4">
        <f>-389.5569--389.0991</f>
        <v>-0.45779999999996335</v>
      </c>
      <c r="NM4">
        <f>-394.3634--393.4479</f>
        <v>-0.91550000000000864</v>
      </c>
      <c r="NN4">
        <f>-389.0991--388.8702</f>
        <v>-0.2289000000000101</v>
      </c>
      <c r="NO4">
        <f>-393.4479--392.5323</f>
        <v>-0.91559999999998354</v>
      </c>
      <c r="NP4">
        <f>-392.9901--392.0746</f>
        <v>-0.91550000000000864</v>
      </c>
      <c r="NQ4">
        <f>-396.4233--397.11</f>
        <v>0.68670000000003029</v>
      </c>
      <c r="NS4">
        <f>-394.8212--394.1345</f>
        <v>-0.68669999999997344</v>
      </c>
      <c r="NT4">
        <f>-396.6522--395.7367</f>
        <v>-0.91550000000000864</v>
      </c>
      <c r="NU4">
        <f>-395.7367--395.2789</f>
        <v>-0.45779999999996335</v>
      </c>
      <c r="NV4">
        <f>-395.05--394.5923</f>
        <v>-0.45769999999998845</v>
      </c>
      <c r="NW4">
        <f>-406.4941--407.4097</f>
        <v>0.91559999999998354</v>
      </c>
      <c r="NZ4">
        <f>-393.6768--394.1345</f>
        <v>0.45769999999998845</v>
      </c>
      <c r="OB4">
        <f>-372.8485--372.1619</f>
        <v>-0.68659999999999854</v>
      </c>
      <c r="OC4">
        <f>-395.9656--395.5078</f>
        <v>-0.45780000000002019</v>
      </c>
      <c r="OD4">
        <f>-372.8485--372.6196</f>
        <v>-0.2289000000000101</v>
      </c>
      <c r="OE4">
        <f>-372.6196--371.933</f>
        <v>-0.68659999999999854</v>
      </c>
      <c r="OG4">
        <f>-396.1945--395.9656</f>
        <v>-0.2289000000000101</v>
      </c>
      <c r="OI4">
        <f>-397.11--396.1945</f>
        <v>-0.91550000000000864</v>
      </c>
      <c r="OJ4">
        <f>-395.05--395.7367</f>
        <v>0.68669999999997344</v>
      </c>
      <c r="OK4">
        <f>-394.5923--394.8212</f>
        <v>0.22889999999995325</v>
      </c>
      <c r="OL4">
        <f>-394.1345--394.8212</f>
        <v>0.68669999999997344</v>
      </c>
      <c r="OM4">
        <f>-396.4233--395.9656</f>
        <v>-0.45769999999998845</v>
      </c>
      <c r="ON4">
        <f>-395.7367--395.5078</f>
        <v>-0.2289000000000101</v>
      </c>
      <c r="OO4">
        <f>-403.2898--402.3743</f>
        <v>-0.91550000000000864</v>
      </c>
      <c r="OP4">
        <f>-397.11--396.8811</f>
        <v>-0.2289000000000101</v>
      </c>
      <c r="PX4" t="s">
        <v>1167</v>
      </c>
      <c r="QE4">
        <v>-1</v>
      </c>
      <c r="QF4">
        <v>-1</v>
      </c>
      <c r="QG4">
        <v>-1</v>
      </c>
      <c r="QH4">
        <v>-1</v>
      </c>
      <c r="QI4">
        <v>-1</v>
      </c>
      <c r="QJ4">
        <v>-1</v>
      </c>
      <c r="QK4">
        <v>-1</v>
      </c>
      <c r="QL4">
        <v>-1</v>
      </c>
    </row>
    <row r="5" spans="1:454" x14ac:dyDescent="0.25">
      <c r="A5" t="s">
        <v>1168</v>
      </c>
      <c r="B5" t="s">
        <v>869</v>
      </c>
      <c r="C5" t="s">
        <v>1169</v>
      </c>
      <c r="D5" t="s">
        <v>946</v>
      </c>
      <c r="E5" t="s">
        <v>1170</v>
      </c>
      <c r="F5" t="s">
        <v>1171</v>
      </c>
      <c r="H5" t="s">
        <v>1172</v>
      </c>
      <c r="I5" t="s">
        <v>1173</v>
      </c>
      <c r="J5" t="s">
        <v>1174</v>
      </c>
      <c r="K5" t="s">
        <v>1175</v>
      </c>
      <c r="L5" t="s">
        <v>1176</v>
      </c>
      <c r="M5" t="s">
        <v>1177</v>
      </c>
      <c r="N5" t="s">
        <v>1178</v>
      </c>
      <c r="O5" t="s">
        <v>1179</v>
      </c>
      <c r="P5" t="s">
        <v>1180</v>
      </c>
      <c r="Q5" t="s">
        <v>1181</v>
      </c>
      <c r="T5" t="s">
        <v>932</v>
      </c>
      <c r="U5" t="s">
        <v>1182</v>
      </c>
      <c r="W5" t="s">
        <v>1183</v>
      </c>
      <c r="X5" t="s">
        <v>1184</v>
      </c>
      <c r="Y5" t="s">
        <v>1185</v>
      </c>
      <c r="Z5" t="s">
        <v>1186</v>
      </c>
      <c r="AA5" t="s">
        <v>1187</v>
      </c>
      <c r="AB5" t="s">
        <v>1188</v>
      </c>
      <c r="AC5" t="s">
        <v>1189</v>
      </c>
      <c r="AE5" t="s">
        <v>1036</v>
      </c>
      <c r="AF5" t="s">
        <v>1190</v>
      </c>
      <c r="AG5" t="s">
        <v>931</v>
      </c>
      <c r="AH5" t="s">
        <v>1191</v>
      </c>
      <c r="AJ5" t="s">
        <v>1192</v>
      </c>
      <c r="AK5" t="s">
        <v>1193</v>
      </c>
      <c r="AL5" t="s">
        <v>1194</v>
      </c>
      <c r="AM5" t="s">
        <v>940</v>
      </c>
      <c r="AQ5" t="s">
        <v>1195</v>
      </c>
      <c r="AS5" t="s">
        <v>1196</v>
      </c>
      <c r="AT5" t="s">
        <v>1197</v>
      </c>
      <c r="AV5" t="s">
        <v>1198</v>
      </c>
      <c r="AX5" t="s">
        <v>971</v>
      </c>
      <c r="AY5" t="s">
        <v>1199</v>
      </c>
      <c r="AZ5" t="s">
        <v>900</v>
      </c>
      <c r="BA5" t="s">
        <v>1200</v>
      </c>
      <c r="BB5" t="s">
        <v>1049</v>
      </c>
      <c r="BC5" t="s">
        <v>1201</v>
      </c>
      <c r="BE5" t="s">
        <v>1202</v>
      </c>
      <c r="BF5" t="s">
        <v>1203</v>
      </c>
      <c r="BG5" t="s">
        <v>1204</v>
      </c>
      <c r="BH5" t="s">
        <v>1205</v>
      </c>
      <c r="BI5" t="s">
        <v>1206</v>
      </c>
      <c r="BJ5" t="s">
        <v>1207</v>
      </c>
      <c r="BL5" t="s">
        <v>1208</v>
      </c>
      <c r="BN5" t="s">
        <v>1209</v>
      </c>
      <c r="BO5" t="s">
        <v>1091</v>
      </c>
      <c r="BP5" t="s">
        <v>1210</v>
      </c>
      <c r="BQ5" t="s">
        <v>1211</v>
      </c>
      <c r="BR5" t="s">
        <v>1193</v>
      </c>
      <c r="BS5" t="s">
        <v>1212</v>
      </c>
      <c r="BT5" t="s">
        <v>1190</v>
      </c>
      <c r="BU5" t="s">
        <v>1213</v>
      </c>
      <c r="BV5" t="s">
        <v>1214</v>
      </c>
      <c r="BW5" t="s">
        <v>1215</v>
      </c>
      <c r="BX5" t="s">
        <v>1108</v>
      </c>
      <c r="BY5" t="s">
        <v>1013</v>
      </c>
      <c r="BZ5" t="s">
        <v>1216</v>
      </c>
      <c r="CA5" t="s">
        <v>1216</v>
      </c>
      <c r="CB5" t="s">
        <v>1119</v>
      </c>
      <c r="CC5" t="s">
        <v>884</v>
      </c>
      <c r="CE5" t="s">
        <v>1217</v>
      </c>
      <c r="CF5" t="s">
        <v>899</v>
      </c>
      <c r="CG5" t="s">
        <v>1218</v>
      </c>
      <c r="CH5" t="s">
        <v>1219</v>
      </c>
      <c r="CI5" t="s">
        <v>1220</v>
      </c>
      <c r="CJ5" t="s">
        <v>1221</v>
      </c>
      <c r="CK5" t="s">
        <v>1122</v>
      </c>
      <c r="CL5" t="s">
        <v>1222</v>
      </c>
      <c r="CM5" t="s">
        <v>1122</v>
      </c>
      <c r="CN5" t="s">
        <v>1223</v>
      </c>
      <c r="CO5" t="s">
        <v>1224</v>
      </c>
      <c r="CP5" t="s">
        <v>1225</v>
      </c>
      <c r="CQ5" t="s">
        <v>1226</v>
      </c>
      <c r="CR5" t="s">
        <v>1227</v>
      </c>
      <c r="CS5" t="s">
        <v>1210</v>
      </c>
      <c r="CT5" t="s">
        <v>1160</v>
      </c>
      <c r="CU5" t="s">
        <v>1228</v>
      </c>
      <c r="CV5" t="s">
        <v>1229</v>
      </c>
      <c r="CW5" t="s">
        <v>1078</v>
      </c>
      <c r="CX5" t="s">
        <v>1230</v>
      </c>
      <c r="CY5" t="s">
        <v>936</v>
      </c>
      <c r="CZ5" t="s">
        <v>1231</v>
      </c>
      <c r="DA5" t="s">
        <v>1232</v>
      </c>
      <c r="DB5" t="s">
        <v>1233</v>
      </c>
      <c r="DC5" t="s">
        <v>1234</v>
      </c>
      <c r="DD5" t="s">
        <v>1235</v>
      </c>
      <c r="DE5" t="s">
        <v>1236</v>
      </c>
      <c r="DF5" t="s">
        <v>1237</v>
      </c>
      <c r="DG5" t="s">
        <v>1238</v>
      </c>
      <c r="DH5" t="s">
        <v>1239</v>
      </c>
      <c r="DI5" t="s">
        <v>1240</v>
      </c>
      <c r="DJ5" t="s">
        <v>1241</v>
      </c>
      <c r="DK5" t="s">
        <v>880</v>
      </c>
      <c r="DL5" t="s">
        <v>1242</v>
      </c>
      <c r="DM5" t="s">
        <v>1091</v>
      </c>
      <c r="DN5" t="s">
        <v>1013</v>
      </c>
      <c r="DO5" t="s">
        <v>1243</v>
      </c>
      <c r="DP5" t="s">
        <v>948</v>
      </c>
      <c r="DQ5" t="s">
        <v>1244</v>
      </c>
      <c r="DR5" t="s">
        <v>1013</v>
      </c>
      <c r="DS5" t="s">
        <v>969</v>
      </c>
      <c r="DT5" t="s">
        <v>1062</v>
      </c>
      <c r="DU5" t="s">
        <v>1245</v>
      </c>
      <c r="DV5" t="s">
        <v>1246</v>
      </c>
      <c r="DW5" t="s">
        <v>983</v>
      </c>
      <c r="DX5" t="s">
        <v>1247</v>
      </c>
      <c r="DY5" t="s">
        <v>1109</v>
      </c>
      <c r="DZ5" t="s">
        <v>1222</v>
      </c>
      <c r="EA5" t="s">
        <v>1248</v>
      </c>
      <c r="EB5" t="s">
        <v>1004</v>
      </c>
      <c r="ED5" t="s">
        <v>1249</v>
      </c>
      <c r="EE5" t="s">
        <v>1181</v>
      </c>
      <c r="EF5" t="s">
        <v>1250</v>
      </c>
      <c r="EG5" t="s">
        <v>1251</v>
      </c>
      <c r="EI5" t="s">
        <v>1156</v>
      </c>
      <c r="EJ5" t="s">
        <v>879</v>
      </c>
      <c r="EK5" t="s">
        <v>1015</v>
      </c>
      <c r="EL5" t="s">
        <v>1212</v>
      </c>
      <c r="EM5" t="s">
        <v>1252</v>
      </c>
      <c r="EN5" t="s">
        <v>1253</v>
      </c>
      <c r="EP5" t="s">
        <v>1254</v>
      </c>
      <c r="EQ5" t="s">
        <v>1255</v>
      </c>
      <c r="ER5" t="s">
        <v>1256</v>
      </c>
      <c r="ES5" t="s">
        <v>1257</v>
      </c>
      <c r="EU5" t="s">
        <v>1258</v>
      </c>
      <c r="EW5" t="s">
        <v>1259</v>
      </c>
      <c r="EX5" t="s">
        <v>1260</v>
      </c>
      <c r="EY5" t="s">
        <v>1261</v>
      </c>
      <c r="EZ5" t="s">
        <v>1262</v>
      </c>
      <c r="FA5" t="s">
        <v>933</v>
      </c>
      <c r="FB5" t="s">
        <v>1263</v>
      </c>
      <c r="FC5" t="s">
        <v>1264</v>
      </c>
      <c r="FD5" t="s">
        <v>1265</v>
      </c>
      <c r="FE5" t="s">
        <v>1266</v>
      </c>
      <c r="FF5" t="s">
        <v>1267</v>
      </c>
      <c r="FG5" t="s">
        <v>1268</v>
      </c>
      <c r="FH5" t="s">
        <v>1269</v>
      </c>
      <c r="FI5" t="s">
        <v>1213</v>
      </c>
      <c r="FJ5" t="s">
        <v>1270</v>
      </c>
      <c r="FL5" t="s">
        <v>1271</v>
      </c>
      <c r="FM5" t="s">
        <v>1216</v>
      </c>
      <c r="FN5" t="s">
        <v>1091</v>
      </c>
      <c r="FO5" t="s">
        <v>1272</v>
      </c>
      <c r="FP5" t="s">
        <v>1154</v>
      </c>
      <c r="FR5" t="s">
        <v>1273</v>
      </c>
      <c r="FS5" t="s">
        <v>1274</v>
      </c>
      <c r="FU5" t="s">
        <v>1275</v>
      </c>
      <c r="FV5" t="s">
        <v>1276</v>
      </c>
      <c r="FX5" t="s">
        <v>1101</v>
      </c>
      <c r="FY5" t="s">
        <v>1277</v>
      </c>
      <c r="FZ5" t="s">
        <v>1159</v>
      </c>
      <c r="GA5" t="s">
        <v>1278</v>
      </c>
      <c r="GC5" t="s">
        <v>1279</v>
      </c>
      <c r="GD5" t="s">
        <v>1213</v>
      </c>
      <c r="GE5" t="s">
        <v>1280</v>
      </c>
      <c r="GF5" t="s">
        <v>1281</v>
      </c>
      <c r="GG5" t="s">
        <v>1282</v>
      </c>
      <c r="GH5" t="s">
        <v>1244</v>
      </c>
      <c r="GI5" t="s">
        <v>893</v>
      </c>
      <c r="GJ5" t="s">
        <v>1283</v>
      </c>
      <c r="GK5" t="s">
        <v>1214</v>
      </c>
      <c r="GM5" t="s">
        <v>936</v>
      </c>
      <c r="GN5" t="s">
        <v>1216</v>
      </c>
      <c r="GO5" t="s">
        <v>1088</v>
      </c>
      <c r="GP5" t="s">
        <v>1284</v>
      </c>
      <c r="GQ5" t="s">
        <v>1285</v>
      </c>
      <c r="GR5" t="s">
        <v>1286</v>
      </c>
      <c r="GS5" t="s">
        <v>1287</v>
      </c>
      <c r="GT5" t="s">
        <v>1288</v>
      </c>
      <c r="GU5" t="s">
        <v>1289</v>
      </c>
      <c r="GV5" t="s">
        <v>1290</v>
      </c>
      <c r="GW5">
        <f>-397.7966--398.0255</f>
        <v>0.2289000000000101</v>
      </c>
      <c r="GX5">
        <f>-400.0854--399.6277</f>
        <v>-0.45769999999998845</v>
      </c>
      <c r="GZ5">
        <f>-398.941--398.4833</f>
        <v>-0.45769999999998845</v>
      </c>
      <c r="HA5">
        <f>-399.6277--398.2544</f>
        <v>-1.3733000000000288</v>
      </c>
      <c r="HB5">
        <f>-400.3143--400.0854</f>
        <v>-0.2289000000000101</v>
      </c>
      <c r="HC5">
        <f>-400.0854--399.1699</f>
        <v>-0.91550000000000864</v>
      </c>
      <c r="HD5">
        <f>-398.4833--398.941</f>
        <v>0.45769999999998845</v>
      </c>
      <c r="HE5">
        <f>-401.6876--400.3143</f>
        <v>-1.373299999999972</v>
      </c>
      <c r="HF5">
        <f>-400.3143--399.6277</f>
        <v>-0.68659999999999854</v>
      </c>
      <c r="HG5">
        <f>-399.6277--398.7122</f>
        <v>-0.91550000000000864</v>
      </c>
      <c r="HH5">
        <f>-399.8566--400.5432</f>
        <v>0.68659999999999854</v>
      </c>
      <c r="HJ5">
        <f>-399.8566--399.3988</f>
        <v>-0.45780000000002019</v>
      </c>
      <c r="HK5">
        <f>-376.0529--376.7395</f>
        <v>0.68659999999999854</v>
      </c>
      <c r="HL5">
        <f>-376.0529--375.824</f>
        <v>-0.2289000000000101</v>
      </c>
      <c r="HM5">
        <f>-399.3988--399.8566</f>
        <v>0.45780000000002019</v>
      </c>
      <c r="HO5">
        <f>-400.3143--400.5432</f>
        <v>0.2289000000000101</v>
      </c>
      <c r="HP5">
        <f>-398.941--399.6277</f>
        <v>0.68670000000003029</v>
      </c>
      <c r="HQ5">
        <f>-398.4833--398.2544</f>
        <v>-0.2289000000000101</v>
      </c>
      <c r="HR5">
        <f>-441.7419--440.8264</f>
        <v>-0.91550000000000864</v>
      </c>
      <c r="HS5">
        <f>-484.314--484.0851</f>
        <v>-0.2289000000000101</v>
      </c>
      <c r="HT5">
        <f>-483.8562--482.9407</f>
        <v>-0.91550000000000864</v>
      </c>
      <c r="HU5">
        <f>-490.2649--490.036</f>
        <v>-0.2289000000000101</v>
      </c>
      <c r="HV5">
        <f>-397.5677--396.1945</f>
        <v>-1.3731999999999971</v>
      </c>
      <c r="HW5">
        <f>-397.7966--396.8811</f>
        <v>-0.91550000000000864</v>
      </c>
      <c r="HX5">
        <f>-397.5677--396.4233</f>
        <v>-1.1444000000000187</v>
      </c>
      <c r="HY5">
        <f>-398.7122--399.6277</f>
        <v>0.91550000000000864</v>
      </c>
      <c r="IA5">
        <f>-398.0255--397.5677</f>
        <v>-0.45780000000002019</v>
      </c>
      <c r="IB5">
        <f>-395.2789--394.8212</f>
        <v>-0.45770000000004529</v>
      </c>
      <c r="IC5">
        <f>-394.1345--393.6768</f>
        <v>-0.45769999999998845</v>
      </c>
      <c r="ID5">
        <f>-398.4833--397.7966</f>
        <v>-0.68669999999997344</v>
      </c>
      <c r="IE5">
        <f>-398.4833--397.5677</f>
        <v>-0.91559999999998354</v>
      </c>
      <c r="IF5">
        <f>-397.5677--397.3389</f>
        <v>-0.22879999999997835</v>
      </c>
      <c r="IG5">
        <f>-396.1945--396.4233</f>
        <v>0.22879999999997835</v>
      </c>
      <c r="IH5">
        <f>-399.8566--399.6277</f>
        <v>-0.2289000000000101</v>
      </c>
      <c r="IJ5">
        <f>-398.941--399.3988</f>
        <v>0.45780000000002019</v>
      </c>
      <c r="IK5">
        <f>-400.3143--400.5432</f>
        <v>0.2289000000000101</v>
      </c>
      <c r="IM5">
        <f>-323.1812--322.9523</f>
        <v>-0.2289000000000101</v>
      </c>
      <c r="IN5">
        <f>-404.4342--404.892</f>
        <v>0.45780000000002019</v>
      </c>
      <c r="IO5">
        <f>-488.8916--488.6627</f>
        <v>-0.2289000000000101</v>
      </c>
      <c r="IP5">
        <f>-493.927--493.2404</f>
        <v>-0.68659999999999854</v>
      </c>
      <c r="IQ5">
        <f>-405.5786--405.3497</f>
        <v>-0.2289000000000101</v>
      </c>
      <c r="IS5">
        <f>-413.8184--413.5895</f>
        <v>-0.2289000000000101</v>
      </c>
      <c r="IT5">
        <f>-396.8811--397.11</f>
        <v>0.2289000000000101</v>
      </c>
      <c r="IU5">
        <f>-485.6873--485.0006</f>
        <v>-0.68669999999997344</v>
      </c>
      <c r="IV5">
        <f>-403.7476--404.2053</f>
        <v>0.45770000000004529</v>
      </c>
      <c r="IW5">
        <f>-405.1208--404.6631</f>
        <v>-0.45769999999998845</v>
      </c>
      <c r="IX5">
        <f>-411.5295--411.3007</f>
        <v>-0.22879999999997835</v>
      </c>
      <c r="IY5">
        <f>-489.5782--488.6627</f>
        <v>-0.91550000000000864</v>
      </c>
      <c r="JB5">
        <f>-491.1804--490.2649</f>
        <v>-0.91550000000000864</v>
      </c>
      <c r="JC5">
        <f>-409.4696--408.5541</f>
        <v>-0.91550000000000864</v>
      </c>
      <c r="JD5">
        <f>-385.8948--386.1237</f>
        <v>0.2289000000000101</v>
      </c>
      <c r="JE5">
        <f>-392.3035--391.1591</f>
        <v>-1.1443999999999619</v>
      </c>
      <c r="JF5">
        <f>-390.7013--390.2435</f>
        <v>-0.45780000000002019</v>
      </c>
      <c r="JH5">
        <f>-396.4233--396.8811</f>
        <v>0.45780000000002019</v>
      </c>
      <c r="JI5">
        <f>-392.0746--392.9901</f>
        <v>0.91550000000000864</v>
      </c>
      <c r="JJ5">
        <f>-400.0854--399.8566</f>
        <v>-0.22879999999997835</v>
      </c>
      <c r="JM5">
        <f>-399.8566--399.3988</f>
        <v>-0.45780000000002019</v>
      </c>
      <c r="JN5">
        <f>-399.1699--398.7122</f>
        <v>-0.45769999999998845</v>
      </c>
      <c r="JO5">
        <f>-400.0854--398.4833</f>
        <v>-1.6021000000000072</v>
      </c>
      <c r="JP5">
        <f>-398.2544--397.5677</f>
        <v>-0.68669999999997344</v>
      </c>
      <c r="JQ5">
        <f>-397.7966--397.3389</f>
        <v>-0.45769999999998845</v>
      </c>
      <c r="JR5">
        <f>-398.0255--398.2544</f>
        <v>0.22889999999995325</v>
      </c>
      <c r="JS5">
        <f>-397.7966--397.11</f>
        <v>-0.68659999999999854</v>
      </c>
      <c r="JT5">
        <f>-396.6522--397.11</f>
        <v>0.45780000000002019</v>
      </c>
      <c r="JU5">
        <f>-396.1945--395.7367</f>
        <v>-0.45780000000002019</v>
      </c>
      <c r="JV5">
        <f>-395.2789--396.1945</f>
        <v>0.91559999999998354</v>
      </c>
      <c r="JW5">
        <f>-395.5078--395.2789</f>
        <v>-0.22889999999995325</v>
      </c>
      <c r="JY5">
        <f>-437.3932--437.1643</f>
        <v>-0.22889999999995325</v>
      </c>
      <c r="JZ5">
        <f>-395.7367--394.8212</f>
        <v>-0.91550000000000864</v>
      </c>
      <c r="KA5">
        <f>-405.5786--406.9519</f>
        <v>1.3733000000000288</v>
      </c>
      <c r="KB5">
        <f>-395.9656--395.5078</f>
        <v>-0.45780000000002019</v>
      </c>
      <c r="KC5">
        <f>-398.7122--398.4833</f>
        <v>-0.2289000000000101</v>
      </c>
      <c r="KD5">
        <f>-399.3988--398.941</f>
        <v>-0.45780000000002019</v>
      </c>
      <c r="KE5">
        <f>-375.3662--376.0529</f>
        <v>0.68670000000003029</v>
      </c>
      <c r="KF5">
        <f>-396.6522--396.8811</f>
        <v>0.2289000000000101</v>
      </c>
      <c r="KG5">
        <f>-374.2218--374.6796</f>
        <v>0.45780000000002019</v>
      </c>
      <c r="KH5">
        <f>-375.3662--375.5951</f>
        <v>0.2289000000000101</v>
      </c>
      <c r="KI5">
        <f>-374.4507--373.764</f>
        <v>-0.68669999999997344</v>
      </c>
      <c r="KJ5">
        <f>-395.9656--396.4233</f>
        <v>0.45769999999998845</v>
      </c>
      <c r="KK5">
        <f>-398.4833--397.11</f>
        <v>-1.373299999999972</v>
      </c>
      <c r="KM5">
        <f>-397.5677--396.6522</f>
        <v>-0.91550000000000864</v>
      </c>
      <c r="KN5">
        <f>-398.2544--398.941</f>
        <v>0.68659999999999854</v>
      </c>
      <c r="KO5">
        <f>-401.001--398.2544</f>
        <v>-2.7466000000000008</v>
      </c>
      <c r="KP5">
        <f>-398.4833--398.2544</f>
        <v>-0.2289000000000101</v>
      </c>
      <c r="KQ5">
        <f>-409.6985--408.783</f>
        <v>-0.91550000000000864</v>
      </c>
      <c r="KR5">
        <f>-398.7122--398.2544</f>
        <v>-0.45780000000002019</v>
      </c>
      <c r="KS5">
        <f>-398.2544--397.7966</f>
        <v>-0.45779999999996335</v>
      </c>
      <c r="KT5">
        <f>-399.1699--399.3988</f>
        <v>0.2289000000000101</v>
      </c>
      <c r="KU5">
        <f>-399.3988--397.7966</f>
        <v>-1.6021999999999821</v>
      </c>
      <c r="KV5">
        <f>-399.8566--401.6876</f>
        <v>1.8309999999999604</v>
      </c>
      <c r="KW5">
        <f>-399.6277--399.1699</f>
        <v>-0.45780000000002019</v>
      </c>
      <c r="KY5">
        <f>-403.7476--402.3743</f>
        <v>-1.373299999999972</v>
      </c>
      <c r="KZ5">
        <f>-399.3988--400.0854</f>
        <v>0.68659999999999854</v>
      </c>
      <c r="LA5">
        <f>-398.7122--398.4833</f>
        <v>-0.2289000000000101</v>
      </c>
      <c r="LB5">
        <f>-397.5677--397.7966</f>
        <v>0.2289000000000101</v>
      </c>
      <c r="LC5">
        <f>-400.3143--399.1699</f>
        <v>-1.1444000000000187</v>
      </c>
      <c r="LD5">
        <f>-399.6277--399.8566</f>
        <v>0.2289000000000101</v>
      </c>
      <c r="LE5">
        <f>-376.0529--375.5951</f>
        <v>-0.45780000000002019</v>
      </c>
      <c r="LF5">
        <f>-375.1373--374.9084</f>
        <v>-0.2289000000000101</v>
      </c>
      <c r="LG5">
        <f>-397.7966--397.3389</f>
        <v>-0.45769999999998845</v>
      </c>
      <c r="LI5">
        <f>-401.4587--401.001</f>
        <v>-0.45770000000004529</v>
      </c>
      <c r="LJ5">
        <f>-402.1454--401.4587</f>
        <v>-0.68669999999997344</v>
      </c>
      <c r="LK5">
        <f>-398.0255--397.3389</f>
        <v>-0.68659999999999854</v>
      </c>
      <c r="LL5">
        <f>-398.4833--397.3389</f>
        <v>-1.1443999999999619</v>
      </c>
      <c r="LN5">
        <f>-401.6876--401.9165</f>
        <v>0.2289000000000101</v>
      </c>
      <c r="LO5">
        <f>-477.6764--476.9897</f>
        <v>-0.68669999999997344</v>
      </c>
      <c r="LP5">
        <f>-482.9407--482.254</f>
        <v>-0.68669999999997344</v>
      </c>
      <c r="LQ5">
        <f>-482.9407--482.254</f>
        <v>-0.68669999999997344</v>
      </c>
      <c r="LR5">
        <f>-396.4233--395.2789</f>
        <v>-1.1443999999999619</v>
      </c>
      <c r="LS5">
        <f>-395.2789--394.8212</f>
        <v>-0.45770000000004529</v>
      </c>
      <c r="LT5">
        <f>-396.6522--396.1945</f>
        <v>-0.45769999999998845</v>
      </c>
      <c r="LU5">
        <f>-398.4833--398.0255</f>
        <v>-0.45779999999996335</v>
      </c>
      <c r="LV5">
        <f>-396.1945--395.2789</f>
        <v>-0.91559999999998354</v>
      </c>
      <c r="LW5">
        <f>-397.5677--398.0255</f>
        <v>0.45780000000002019</v>
      </c>
      <c r="LY5">
        <f>-395.05--394.1345</f>
        <v>-0.91550000000000864</v>
      </c>
      <c r="LZ5">
        <f>-395.7367--394.8212</f>
        <v>-0.91550000000000864</v>
      </c>
      <c r="MA5">
        <f>-396.8811--396.6522</f>
        <v>-0.2289000000000101</v>
      </c>
      <c r="MB5">
        <f>-392.5323--392.0746</f>
        <v>-0.45770000000004529</v>
      </c>
      <c r="MC5">
        <f>-397.7966--396.4233</f>
        <v>-1.3733000000000288</v>
      </c>
      <c r="MD5">
        <f>-397.11--396.4233</f>
        <v>-0.68670000000003029</v>
      </c>
      <c r="ME5">
        <f>-399.3988--397.7966</f>
        <v>-1.6021999999999821</v>
      </c>
      <c r="MF5">
        <f>-400.0854--400.5432</f>
        <v>0.45780000000002019</v>
      </c>
      <c r="MI5">
        <f>-401.6876--400.5432</f>
        <v>-1.1443999999999619</v>
      </c>
      <c r="MJ5">
        <f>-399.8566--400.5432</f>
        <v>0.68659999999999854</v>
      </c>
      <c r="MK5">
        <f>-399.3988--399.8566</f>
        <v>0.45780000000002019</v>
      </c>
      <c r="ML5">
        <f>-353.6224--353.8513</f>
        <v>0.22889999999995325</v>
      </c>
      <c r="MM5">
        <f>-319.7479--318.8324</f>
        <v>-0.91550000000000864</v>
      </c>
      <c r="MO5">
        <f>-491.4093--491.1804</f>
        <v>-0.22889999999995325</v>
      </c>
      <c r="MP5">
        <f>-396.8811--396.4233</f>
        <v>-0.45780000000002019</v>
      </c>
      <c r="MQ5">
        <f>-486.145--487.2894</f>
        <v>1.1444000000000187</v>
      </c>
      <c r="MR5">
        <f>-492.7826--492.3248</f>
        <v>-0.45780000000002019</v>
      </c>
      <c r="MS5">
        <f>-492.0959--491.6382</f>
        <v>-0.45769999999998845</v>
      </c>
      <c r="MT5">
        <f>-398.2544--397.5677</f>
        <v>-0.68669999999997344</v>
      </c>
      <c r="MU5">
        <f>-398.7122--398.941</f>
        <v>0.22879999999997835</v>
      </c>
      <c r="MV5">
        <f>-405.3497--406.2653</f>
        <v>0.91560000000004038</v>
      </c>
      <c r="MW5">
        <f>-399.1699--399.8566</f>
        <v>0.68670000000003029</v>
      </c>
      <c r="MX5">
        <f>-490.7227--490.2649</f>
        <v>-0.45779999999996335</v>
      </c>
      <c r="MZ5">
        <f>-490.4938--489.5782</f>
        <v>-0.91560000000004038</v>
      </c>
      <c r="NA5">
        <f>-467.8345--468.2922</f>
        <v>0.45769999999998845</v>
      </c>
      <c r="NB5">
        <f>-388.4125--387.7258</f>
        <v>-0.68670000000003029</v>
      </c>
      <c r="NC5">
        <f>-390.9302--390.7013</f>
        <v>-0.2289000000000101</v>
      </c>
      <c r="ND5">
        <f>-391.3879--390.9302</f>
        <v>-0.45769999999998845</v>
      </c>
      <c r="NE5">
        <f>-392.0746--391.3879</f>
        <v>-0.68669999999997344</v>
      </c>
      <c r="NF5">
        <f>-392.3035--391.3879</f>
        <v>-0.91559999999998354</v>
      </c>
      <c r="NG5">
        <f>-392.7612--391.6168</f>
        <v>-1.1443999999999619</v>
      </c>
      <c r="NI5">
        <f>-392.5323--392.7612</f>
        <v>0.22889999999995325</v>
      </c>
      <c r="NJ5">
        <f>-397.3389--396.6522</f>
        <v>-0.68670000000003029</v>
      </c>
      <c r="NK5">
        <f>-394.1345--393.6768</f>
        <v>-0.45769999999998845</v>
      </c>
      <c r="NL5">
        <f>-394.3634--394.5923</f>
        <v>0.2289000000000101</v>
      </c>
      <c r="NM5">
        <f>-400.3143--400.0854</f>
        <v>-0.2289000000000101</v>
      </c>
      <c r="NN5">
        <f>-393.9056--394.5923</f>
        <v>0.68670000000003029</v>
      </c>
      <c r="NO5">
        <f>-396.4233--396.6522</f>
        <v>0.2289000000000101</v>
      </c>
      <c r="NP5">
        <f>-396.6522--395.9656</f>
        <v>-0.68659999999999854</v>
      </c>
      <c r="NQ5">
        <f>-395.9656--395.05</f>
        <v>-0.91559999999998354</v>
      </c>
      <c r="NS5">
        <f>-396.1945--395.05</f>
        <v>-1.1444999999999936</v>
      </c>
      <c r="NT5">
        <f>-398.941--397.7966</f>
        <v>-1.1443999999999619</v>
      </c>
      <c r="NV5">
        <f>-395.05--395.5078</f>
        <v>0.45779999999996335</v>
      </c>
      <c r="NW5">
        <f>-409.4696--409.0118</f>
        <v>-0.45780000000002019</v>
      </c>
      <c r="NY5">
        <f>-395.5078--395.2789</f>
        <v>-0.22889999999995325</v>
      </c>
      <c r="NZ5">
        <f>-395.05--396.4233</f>
        <v>1.373299999999972</v>
      </c>
      <c r="OA5">
        <f>-399.6277--401.2299</f>
        <v>1.6021999999999821</v>
      </c>
      <c r="OB5">
        <f>-374.6796--374.9084</f>
        <v>0.22879999999997835</v>
      </c>
      <c r="OC5">
        <f>-397.7966--397.3389</f>
        <v>-0.45769999999998845</v>
      </c>
      <c r="OD5">
        <f>-373.9929--374.4507</f>
        <v>0.45779999999996335</v>
      </c>
      <c r="OE5">
        <f>-374.2218--374.6796</f>
        <v>0.45780000000002019</v>
      </c>
      <c r="OF5">
        <f>-375.1373--374.6796</f>
        <v>-0.45769999999998845</v>
      </c>
      <c r="OG5">
        <f>-397.5677--397.3389</f>
        <v>-0.22879999999997835</v>
      </c>
      <c r="OH5">
        <f>-396.8811--396.1945</f>
        <v>-0.68659999999999854</v>
      </c>
      <c r="OI5">
        <f>-398.0255--397.5677</f>
        <v>-0.45780000000002019</v>
      </c>
      <c r="OJ5">
        <f>-397.7966--400.0854</f>
        <v>2.2887999999999806</v>
      </c>
      <c r="OK5">
        <f>-398.7122--398.4833</f>
        <v>-0.2289000000000101</v>
      </c>
      <c r="OL5">
        <f>-401.001--400.3143</f>
        <v>-0.68669999999997344</v>
      </c>
      <c r="OM5">
        <f>-398.4833--397.5677</f>
        <v>-0.91559999999998354</v>
      </c>
      <c r="ON5">
        <f>-398.2544--399.1699</f>
        <v>0.91550000000000864</v>
      </c>
      <c r="OO5">
        <f>-411.7584--411.3007</f>
        <v>-0.45769999999998845</v>
      </c>
      <c r="OP5">
        <f>-401.2299--400.5432</f>
        <v>-0.68669999999997344</v>
      </c>
      <c r="QE5">
        <v>-1</v>
      </c>
      <c r="QF5">
        <v>-1</v>
      </c>
      <c r="QG5">
        <v>-1</v>
      </c>
      <c r="QH5">
        <v>-1</v>
      </c>
      <c r="QI5">
        <v>-1</v>
      </c>
      <c r="QJ5">
        <v>-1</v>
      </c>
      <c r="QK5">
        <v>-1</v>
      </c>
      <c r="QL5">
        <v>-1</v>
      </c>
    </row>
    <row r="6" spans="1:454" x14ac:dyDescent="0.25">
      <c r="A6" t="s">
        <v>1291</v>
      </c>
      <c r="B6" t="s">
        <v>1292</v>
      </c>
      <c r="C6" t="s">
        <v>971</v>
      </c>
      <c r="D6" t="s">
        <v>1197</v>
      </c>
      <c r="E6" t="s">
        <v>1199</v>
      </c>
      <c r="F6" t="s">
        <v>1293</v>
      </c>
      <c r="G6" t="s">
        <v>1294</v>
      </c>
      <c r="H6" t="s">
        <v>1295</v>
      </c>
      <c r="I6" t="s">
        <v>1296</v>
      </c>
      <c r="J6" t="s">
        <v>1297</v>
      </c>
      <c r="K6" t="s">
        <v>1025</v>
      </c>
      <c r="L6" t="s">
        <v>1298</v>
      </c>
      <c r="M6" t="s">
        <v>1299</v>
      </c>
      <c r="N6" t="s">
        <v>1300</v>
      </c>
      <c r="O6" t="s">
        <v>1301</v>
      </c>
      <c r="P6" t="s">
        <v>1296</v>
      </c>
      <c r="Q6" t="s">
        <v>1302</v>
      </c>
      <c r="S6" t="s">
        <v>1303</v>
      </c>
      <c r="T6" t="s">
        <v>1304</v>
      </c>
      <c r="U6" t="s">
        <v>1305</v>
      </c>
      <c r="W6" t="s">
        <v>877</v>
      </c>
      <c r="X6" t="s">
        <v>1306</v>
      </c>
      <c r="Y6" t="s">
        <v>1307</v>
      </c>
      <c r="Z6" t="s">
        <v>1308</v>
      </c>
      <c r="AA6" t="s">
        <v>1309</v>
      </c>
      <c r="AC6" t="s">
        <v>1310</v>
      </c>
      <c r="AD6" t="s">
        <v>1311</v>
      </c>
      <c r="AE6" t="s">
        <v>1312</v>
      </c>
      <c r="AF6" t="s">
        <v>1313</v>
      </c>
      <c r="AG6" t="s">
        <v>1314</v>
      </c>
      <c r="AH6" t="s">
        <v>876</v>
      </c>
      <c r="AI6" t="s">
        <v>896</v>
      </c>
      <c r="AJ6" t="s">
        <v>1087</v>
      </c>
      <c r="AK6" t="s">
        <v>1315</v>
      </c>
      <c r="AL6" t="s">
        <v>1316</v>
      </c>
      <c r="AM6" t="s">
        <v>1223</v>
      </c>
      <c r="AN6" t="s">
        <v>873</v>
      </c>
      <c r="AO6" t="s">
        <v>1317</v>
      </c>
      <c r="AP6" t="s">
        <v>1318</v>
      </c>
      <c r="AQ6" t="s">
        <v>1319</v>
      </c>
      <c r="AR6" t="s">
        <v>1320</v>
      </c>
      <c r="AS6" t="s">
        <v>1321</v>
      </c>
      <c r="AT6" t="s">
        <v>1322</v>
      </c>
      <c r="AU6" t="s">
        <v>1323</v>
      </c>
      <c r="AV6" t="s">
        <v>1324</v>
      </c>
      <c r="AW6" t="s">
        <v>1325</v>
      </c>
      <c r="AX6" t="s">
        <v>1326</v>
      </c>
      <c r="AY6" t="s">
        <v>1327</v>
      </c>
      <c r="AZ6" t="s">
        <v>938</v>
      </c>
      <c r="BA6" t="s">
        <v>1328</v>
      </c>
      <c r="BB6" t="s">
        <v>1329</v>
      </c>
      <c r="BC6" t="s">
        <v>1330</v>
      </c>
      <c r="BD6" t="s">
        <v>1331</v>
      </c>
      <c r="BE6" t="s">
        <v>915</v>
      </c>
      <c r="BF6" t="s">
        <v>1332</v>
      </c>
      <c r="BG6" t="s">
        <v>1333</v>
      </c>
      <c r="BH6" t="s">
        <v>1334</v>
      </c>
      <c r="BI6" t="s">
        <v>1335</v>
      </c>
      <c r="BK6" t="s">
        <v>1062</v>
      </c>
      <c r="BL6" t="s">
        <v>897</v>
      </c>
      <c r="BM6" t="s">
        <v>1123</v>
      </c>
      <c r="BO6" t="s">
        <v>1325</v>
      </c>
      <c r="BP6" t="s">
        <v>1336</v>
      </c>
      <c r="BQ6" t="s">
        <v>1337</v>
      </c>
      <c r="BR6" t="s">
        <v>1215</v>
      </c>
      <c r="BS6" t="s">
        <v>1338</v>
      </c>
      <c r="BT6" t="s">
        <v>987</v>
      </c>
      <c r="BU6" t="s">
        <v>882</v>
      </c>
      <c r="BV6" t="s">
        <v>1325</v>
      </c>
      <c r="BW6" t="s">
        <v>913</v>
      </c>
      <c r="BX6" t="s">
        <v>1339</v>
      </c>
      <c r="BY6" t="s">
        <v>1272</v>
      </c>
      <c r="BZ6" t="s">
        <v>1340</v>
      </c>
      <c r="CA6" t="s">
        <v>1341</v>
      </c>
      <c r="CB6" t="s">
        <v>1080</v>
      </c>
      <c r="CC6" t="s">
        <v>1342</v>
      </c>
      <c r="CD6" t="s">
        <v>1343</v>
      </c>
      <c r="CE6" t="s">
        <v>1344</v>
      </c>
      <c r="CF6" t="s">
        <v>1345</v>
      </c>
      <c r="CG6" t="s">
        <v>1017</v>
      </c>
      <c r="CH6" t="s">
        <v>1220</v>
      </c>
      <c r="CJ6" t="s">
        <v>928</v>
      </c>
      <c r="CL6" t="s">
        <v>895</v>
      </c>
      <c r="CM6" t="s">
        <v>1103</v>
      </c>
      <c r="CN6" t="s">
        <v>1192</v>
      </c>
      <c r="CO6" t="s">
        <v>1346</v>
      </c>
      <c r="CP6" t="s">
        <v>1347</v>
      </c>
      <c r="CQ6" t="s">
        <v>1220</v>
      </c>
      <c r="CR6" t="s">
        <v>1348</v>
      </c>
      <c r="CS6" t="s">
        <v>1349</v>
      </c>
      <c r="CT6" t="s">
        <v>1283</v>
      </c>
      <c r="CU6" t="s">
        <v>1350</v>
      </c>
      <c r="CV6" t="s">
        <v>1351</v>
      </c>
      <c r="CW6" t="s">
        <v>1352</v>
      </c>
      <c r="CX6" t="s">
        <v>1353</v>
      </c>
      <c r="CY6" t="s">
        <v>1192</v>
      </c>
      <c r="CZ6" t="s">
        <v>1151</v>
      </c>
      <c r="DA6" t="s">
        <v>1354</v>
      </c>
      <c r="DB6" t="s">
        <v>1355</v>
      </c>
      <c r="DC6" t="s">
        <v>1356</v>
      </c>
      <c r="DD6" t="s">
        <v>1357</v>
      </c>
      <c r="DE6" t="s">
        <v>1358</v>
      </c>
      <c r="DF6" t="s">
        <v>1359</v>
      </c>
      <c r="DG6" t="s">
        <v>1360</v>
      </c>
      <c r="DH6" t="s">
        <v>1361</v>
      </c>
      <c r="DI6" t="s">
        <v>1362</v>
      </c>
      <c r="DJ6" t="s">
        <v>1363</v>
      </c>
      <c r="DK6" t="s">
        <v>1364</v>
      </c>
      <c r="DL6" t="s">
        <v>1365</v>
      </c>
      <c r="DM6" t="s">
        <v>1366</v>
      </c>
      <c r="DN6" t="s">
        <v>1249</v>
      </c>
      <c r="DP6" t="s">
        <v>1271</v>
      </c>
      <c r="DQ6" t="s">
        <v>1242</v>
      </c>
      <c r="DR6" t="s">
        <v>1348</v>
      </c>
      <c r="DS6" t="s">
        <v>1367</v>
      </c>
      <c r="DT6" t="s">
        <v>1368</v>
      </c>
      <c r="DU6" t="s">
        <v>1369</v>
      </c>
      <c r="DV6" t="s">
        <v>962</v>
      </c>
      <c r="DW6" t="s">
        <v>1370</v>
      </c>
      <c r="DX6" t="s">
        <v>1371</v>
      </c>
      <c r="DY6" t="s">
        <v>1372</v>
      </c>
      <c r="DZ6" t="s">
        <v>1373</v>
      </c>
      <c r="EA6" t="s">
        <v>1374</v>
      </c>
      <c r="EB6" t="s">
        <v>1375</v>
      </c>
      <c r="EE6" t="s">
        <v>1376</v>
      </c>
      <c r="EF6" t="s">
        <v>1346</v>
      </c>
      <c r="EG6" t="s">
        <v>1377</v>
      </c>
      <c r="EH6" t="s">
        <v>1192</v>
      </c>
      <c r="EI6" t="s">
        <v>1378</v>
      </c>
      <c r="EJ6" t="s">
        <v>1223</v>
      </c>
      <c r="EK6" t="s">
        <v>1379</v>
      </c>
      <c r="EL6" t="s">
        <v>1380</v>
      </c>
      <c r="EM6" t="s">
        <v>1381</v>
      </c>
      <c r="EN6" t="s">
        <v>1382</v>
      </c>
      <c r="EO6" t="s">
        <v>1383</v>
      </c>
      <c r="EP6" t="s">
        <v>1384</v>
      </c>
      <c r="EQ6" t="s">
        <v>1385</v>
      </c>
      <c r="ER6" t="s">
        <v>1386</v>
      </c>
      <c r="ES6" t="s">
        <v>1387</v>
      </c>
      <c r="EU6" t="s">
        <v>1388</v>
      </c>
      <c r="EV6" t="s">
        <v>986</v>
      </c>
      <c r="EW6" t="s">
        <v>1389</v>
      </c>
      <c r="EX6" t="s">
        <v>1390</v>
      </c>
      <c r="EY6" t="s">
        <v>1391</v>
      </c>
      <c r="EZ6" t="s">
        <v>886</v>
      </c>
      <c r="FA6" t="s">
        <v>1392</v>
      </c>
      <c r="FB6" t="s">
        <v>1393</v>
      </c>
      <c r="FC6" t="s">
        <v>900</v>
      </c>
      <c r="FD6" t="s">
        <v>1203</v>
      </c>
      <c r="FE6" t="s">
        <v>1394</v>
      </c>
      <c r="FF6" t="s">
        <v>1395</v>
      </c>
      <c r="FG6" t="s">
        <v>1396</v>
      </c>
      <c r="FH6" t="s">
        <v>1397</v>
      </c>
      <c r="FI6" t="s">
        <v>1151</v>
      </c>
      <c r="FJ6" t="s">
        <v>1398</v>
      </c>
      <c r="FL6" t="s">
        <v>1399</v>
      </c>
      <c r="FM6" t="s">
        <v>1400</v>
      </c>
      <c r="FN6" t="s">
        <v>1401</v>
      </c>
      <c r="FO6" t="s">
        <v>1402</v>
      </c>
      <c r="FP6" t="s">
        <v>1403</v>
      </c>
      <c r="FQ6" t="s">
        <v>971</v>
      </c>
      <c r="FR6" t="s">
        <v>1404</v>
      </c>
      <c r="FS6" t="s">
        <v>1405</v>
      </c>
      <c r="FT6" t="s">
        <v>1071</v>
      </c>
      <c r="FU6" t="s">
        <v>901</v>
      </c>
      <c r="FV6" t="s">
        <v>1073</v>
      </c>
      <c r="FW6" t="s">
        <v>1406</v>
      </c>
      <c r="FX6" t="s">
        <v>1407</v>
      </c>
      <c r="FY6" t="s">
        <v>1408</v>
      </c>
      <c r="FZ6" t="s">
        <v>1409</v>
      </c>
      <c r="GB6" t="s">
        <v>1410</v>
      </c>
      <c r="GC6" t="s">
        <v>1411</v>
      </c>
      <c r="GF6" t="s">
        <v>1311</v>
      </c>
      <c r="GG6" t="s">
        <v>1182</v>
      </c>
      <c r="GH6" t="s">
        <v>1020</v>
      </c>
      <c r="GI6" t="s">
        <v>1412</v>
      </c>
      <c r="GJ6" t="s">
        <v>1108</v>
      </c>
      <c r="GL6" t="s">
        <v>1413</v>
      </c>
      <c r="GM6" t="s">
        <v>895</v>
      </c>
      <c r="GN6" t="s">
        <v>1414</v>
      </c>
      <c r="GO6" t="s">
        <v>1415</v>
      </c>
      <c r="GP6" t="s">
        <v>1211</v>
      </c>
      <c r="GQ6" t="s">
        <v>959</v>
      </c>
      <c r="GR6" t="s">
        <v>1190</v>
      </c>
      <c r="GS6" t="s">
        <v>1416</v>
      </c>
      <c r="GT6" t="s">
        <v>878</v>
      </c>
      <c r="GU6" t="s">
        <v>1417</v>
      </c>
      <c r="GV6" t="s">
        <v>1418</v>
      </c>
      <c r="GW6">
        <f>-394.1345--393.219</f>
        <v>-0.91550000000000864</v>
      </c>
      <c r="GX6">
        <f>-394.1345--393.6768</f>
        <v>-0.45769999999998845</v>
      </c>
      <c r="GY6">
        <f>-395.05--393.9056</f>
        <v>-1.1444000000000187</v>
      </c>
      <c r="GZ6">
        <f>-395.5078--395.05</f>
        <v>-0.45779999999996335</v>
      </c>
      <c r="HA6">
        <f>-396.1945--395.5078</f>
        <v>-0.68670000000003029</v>
      </c>
      <c r="HB6">
        <f>-396.8811--395.5078</f>
        <v>-1.3733000000000288</v>
      </c>
      <c r="HC6">
        <f>-396.6522--395.7367</f>
        <v>-0.91550000000000864</v>
      </c>
      <c r="HD6">
        <f>-396.8811--397.11</f>
        <v>0.2289000000000101</v>
      </c>
      <c r="HE6">
        <f>-398.941--398.4833</f>
        <v>-0.45769999999998845</v>
      </c>
      <c r="HF6">
        <f>-395.7367--395.2789</f>
        <v>-0.45779999999996335</v>
      </c>
      <c r="HG6">
        <f>-396.4233--395.9656</f>
        <v>-0.45769999999998845</v>
      </c>
      <c r="HH6">
        <f>-395.9656--396.1945</f>
        <v>0.2289000000000101</v>
      </c>
      <c r="HJ6">
        <f>-395.7367--395.05</f>
        <v>-0.68669999999997344</v>
      </c>
      <c r="HL6">
        <f>-372.6196--371.7041</f>
        <v>-0.91550000000000864</v>
      </c>
      <c r="HM6">
        <f>-394.1345--394.3634</f>
        <v>0.2289000000000101</v>
      </c>
      <c r="HN6">
        <f>-396.1945--396.4233</f>
        <v>0.22879999999997835</v>
      </c>
      <c r="HO6">
        <f>-393.4479--393.9056</f>
        <v>0.45769999999998845</v>
      </c>
      <c r="HP6">
        <f>-394.1345--394.3634</f>
        <v>0.2289000000000101</v>
      </c>
      <c r="HR6">
        <f>-435.1044--434.4177</f>
        <v>-0.68669999999997344</v>
      </c>
      <c r="HS6">
        <f>-478.1342--477.4475</f>
        <v>-0.68670000000003029</v>
      </c>
      <c r="HT6">
        <f>-478.8208--478.1342</f>
        <v>-0.68659999999999854</v>
      </c>
      <c r="HU6">
        <f>-482.9407--482.4829</f>
        <v>-0.45780000000002019</v>
      </c>
      <c r="HV6">
        <f>-395.2789--393.4479</f>
        <v>-1.8310000000000173</v>
      </c>
      <c r="HW6">
        <f>-396.8811--395.2789</f>
        <v>-1.6021999999999821</v>
      </c>
      <c r="HX6">
        <f>-396.1945--395.2789</f>
        <v>-0.91559999999998354</v>
      </c>
      <c r="HY6">
        <f>-397.11--395.7367</f>
        <v>-1.3733000000000288</v>
      </c>
      <c r="HZ6">
        <f>-393.6768--392.5323</f>
        <v>-1.1444999999999936</v>
      </c>
      <c r="IA6">
        <f>-393.4479--392.5323</f>
        <v>-0.91559999999998354</v>
      </c>
      <c r="IC6">
        <f>-391.3879--390.9302</f>
        <v>-0.45769999999998845</v>
      </c>
      <c r="ID6">
        <f>-394.3634--393.9056</f>
        <v>-0.45780000000002019</v>
      </c>
      <c r="IE6">
        <f>-394.1345--393.219</f>
        <v>-0.91550000000000864</v>
      </c>
      <c r="IF6">
        <f>-398.4833--397.5677</f>
        <v>-0.91559999999998354</v>
      </c>
      <c r="IG6">
        <f>-395.5078--394.8212</f>
        <v>-0.68659999999999854</v>
      </c>
      <c r="IH6">
        <f>-395.2789--394.3634</f>
        <v>-0.91550000000000864</v>
      </c>
      <c r="II6">
        <f>-396.1945--395.05</f>
        <v>-1.1444999999999936</v>
      </c>
      <c r="IJ6">
        <f>-397.11--396.8811</f>
        <v>-0.2289000000000101</v>
      </c>
      <c r="IL6">
        <f>-354.0802--353.1647</f>
        <v>-0.91550000000000864</v>
      </c>
      <c r="IM6">
        <f>-319.9768--319.0613</f>
        <v>-0.91550000000000864</v>
      </c>
      <c r="IN6">
        <f>-392.3035--392.0746</f>
        <v>-0.2289000000000101</v>
      </c>
      <c r="IO6">
        <f>-480.8807--480.6519</f>
        <v>-0.22879999999997835</v>
      </c>
      <c r="IP6">
        <f>-485.9161--485.4584</f>
        <v>-0.45769999999998845</v>
      </c>
      <c r="IQ6">
        <f>-394.8212--393.6768</f>
        <v>-1.1443999999999619</v>
      </c>
      <c r="IR6">
        <f>-392.9901--392.7612</f>
        <v>-0.2289000000000101</v>
      </c>
      <c r="IS6">
        <f>-401.4587--401.6876</f>
        <v>0.22889999999995325</v>
      </c>
      <c r="IU6">
        <f>-477.9053--477.2186</f>
        <v>-0.68670000000003029</v>
      </c>
      <c r="IV6">
        <f>-397.11--397.3389</f>
        <v>0.2289000000000101</v>
      </c>
      <c r="IW6">
        <f>-390.4724--390.7013</f>
        <v>0.2289000000000101</v>
      </c>
      <c r="IX6">
        <f>-391.3879--391.6168</f>
        <v>0.2289000000000101</v>
      </c>
      <c r="IY6">
        <f>-482.254--481.3385</f>
        <v>-0.91550000000000864</v>
      </c>
      <c r="JA6">
        <f>-478.1342--477.9053</f>
        <v>-0.2289000000000101</v>
      </c>
      <c r="JB6">
        <f>-478.8208--478.363</f>
        <v>-0.45780000000002019</v>
      </c>
      <c r="JC6">
        <f>-394.8212--393.6768</f>
        <v>-1.1443999999999619</v>
      </c>
      <c r="JD6">
        <f>-383.8348--382.9193</f>
        <v>-0.9154999999999518</v>
      </c>
      <c r="JE6">
        <f>-387.7258--386.3525</f>
        <v>-1.373299999999972</v>
      </c>
      <c r="JF6">
        <f>-387.4969--386.8103</f>
        <v>-0.68659999999999854</v>
      </c>
      <c r="JG6">
        <f>-388.6414--387.7258</f>
        <v>-0.91559999999998354</v>
      </c>
      <c r="JH6">
        <f>-392.9901--392.0746</f>
        <v>-0.91550000000000864</v>
      </c>
      <c r="JI6">
        <f>-388.6414--388.8702</f>
        <v>0.2288000000000352</v>
      </c>
      <c r="JJ6">
        <f>-394.5923--393.4479</f>
        <v>-1.1444000000000187</v>
      </c>
      <c r="JK6">
        <f>-393.6768--392.7612</f>
        <v>-0.91560000000004038</v>
      </c>
      <c r="JL6">
        <f>-390.4724--390.2435</f>
        <v>-0.2289000000000101</v>
      </c>
      <c r="JM6">
        <f>-395.05--393.9056</f>
        <v>-1.1444000000000187</v>
      </c>
      <c r="JN6">
        <f>-393.9056--392.3035</f>
        <v>-1.6021000000000072</v>
      </c>
      <c r="JO6">
        <f>-393.4479--392.0746</f>
        <v>-1.3733000000000288</v>
      </c>
      <c r="JP6">
        <f>-394.5923--393.219</f>
        <v>-1.3733000000000288</v>
      </c>
      <c r="JQ6">
        <f>-394.8212--393.6768</f>
        <v>-1.1443999999999619</v>
      </c>
      <c r="JS6">
        <f>-395.2789--394.8212</f>
        <v>-0.45770000000004529</v>
      </c>
      <c r="JT6">
        <f>-395.5078--395.7367</f>
        <v>0.2289000000000101</v>
      </c>
      <c r="JU6">
        <f>-394.5923--393.9056</f>
        <v>-0.68670000000003029</v>
      </c>
      <c r="JV6">
        <f>-396.4233--394.8212</f>
        <v>-1.6021000000000072</v>
      </c>
      <c r="JW6">
        <f>-395.2789--395.05</f>
        <v>-0.2289000000000101</v>
      </c>
      <c r="JX6">
        <f>-396.1945--395.7367</f>
        <v>-0.45780000000002019</v>
      </c>
      <c r="JZ6">
        <f>-394.3634--393.4479</f>
        <v>-0.91550000000000864</v>
      </c>
      <c r="KA6">
        <f>-393.4479--394.1345</f>
        <v>0.68659999999999854</v>
      </c>
      <c r="KC6">
        <f>-395.7367--396.1945</f>
        <v>0.45780000000002019</v>
      </c>
      <c r="KD6">
        <f>-397.3389--396.6522</f>
        <v>-0.68670000000003029</v>
      </c>
      <c r="KE6">
        <f>-371.7041--372.3907</f>
        <v>0.68659999999999854</v>
      </c>
      <c r="KF6">
        <f>-395.5078--395.7367</f>
        <v>0.2289000000000101</v>
      </c>
      <c r="KG6">
        <f>-373.5352--373.3063</f>
        <v>-0.22889999999995325</v>
      </c>
      <c r="KH6">
        <f>-373.9929--373.5352</f>
        <v>-0.45770000000004529</v>
      </c>
      <c r="KI6">
        <f>-373.0774--373.9929</f>
        <v>0.91550000000000864</v>
      </c>
      <c r="KJ6">
        <f>-395.05--395.2789</f>
        <v>0.2289000000000101</v>
      </c>
      <c r="KK6">
        <f>-396.4233--396.8811</f>
        <v>0.45780000000002019</v>
      </c>
      <c r="KL6">
        <f>-395.7367--395.9656</f>
        <v>0.2289000000000101</v>
      </c>
      <c r="KO6">
        <f>-394.3634--393.6768</f>
        <v>-0.68659999999999854</v>
      </c>
      <c r="KP6">
        <f>-395.5078--395.05</f>
        <v>-0.45779999999996335</v>
      </c>
      <c r="KQ6">
        <f>-399.1699--397.5677</f>
        <v>-1.6021999999999821</v>
      </c>
      <c r="KR6">
        <f>-395.05--393.9056</f>
        <v>-1.1444000000000187</v>
      </c>
      <c r="KS6">
        <f>-397.11--395.9656</f>
        <v>-1.1444000000000187</v>
      </c>
      <c r="KT6">
        <f>-396.4233--395.2789</f>
        <v>-1.1443999999999619</v>
      </c>
      <c r="KU6">
        <f>-397.5677--395.7367</f>
        <v>-1.8310000000000173</v>
      </c>
      <c r="KV6">
        <f>-396.8811--396.4233</f>
        <v>-0.45780000000002019</v>
      </c>
      <c r="KW6">
        <f>-397.11--395.9656</f>
        <v>-1.1444000000000187</v>
      </c>
      <c r="KY6">
        <f>-398.2544--397.3389</f>
        <v>-0.9154999999999518</v>
      </c>
      <c r="KZ6">
        <f>-395.7367--395.2789</f>
        <v>-0.45779999999996335</v>
      </c>
      <c r="LA6">
        <f>-397.7966--397.3389</f>
        <v>-0.45769999999998845</v>
      </c>
      <c r="LB6">
        <f>-395.05--394.5923</f>
        <v>-0.45769999999998845</v>
      </c>
      <c r="LC6">
        <f>-396.6522--394.8212</f>
        <v>-1.8310000000000173</v>
      </c>
      <c r="LD6">
        <f>-395.5078--394.5923</f>
        <v>-0.9154999999999518</v>
      </c>
      <c r="LE6">
        <f>-371.0175--370.3308</f>
        <v>-0.68669999999997344</v>
      </c>
      <c r="LF6">
        <f>-371.7041--371.933</f>
        <v>0.2289000000000101</v>
      </c>
      <c r="LG6">
        <f>-393.6768--392.7612</f>
        <v>-0.91560000000004038</v>
      </c>
      <c r="LH6">
        <f>-394.8212--394.3634</f>
        <v>-0.45779999999996335</v>
      </c>
      <c r="LI6">
        <f>-395.05--394.3634</f>
        <v>-0.68659999999999854</v>
      </c>
      <c r="LJ6">
        <f>-393.9056--393.219</f>
        <v>-0.68659999999999854</v>
      </c>
      <c r="LK6">
        <f>-394.8212--394.3634</f>
        <v>-0.45779999999996335</v>
      </c>
      <c r="LL6">
        <f>-396.4233--394.8212</f>
        <v>-1.6021000000000072</v>
      </c>
      <c r="LN6">
        <f>-391.1591--390.7013</f>
        <v>-0.45780000000002019</v>
      </c>
      <c r="LO6">
        <f>-472.8699--473.0988</f>
        <v>0.2289000000000101</v>
      </c>
      <c r="LP6">
        <f>-473.0988--473.3276</f>
        <v>0.2288000000000352</v>
      </c>
      <c r="LQ6">
        <f>-476.3031--476.9897</f>
        <v>0.68660000000005539</v>
      </c>
      <c r="LR6">
        <f>-394.3634--392.9901</f>
        <v>-1.3733000000000288</v>
      </c>
      <c r="LS6">
        <f>-393.219--391.3879</f>
        <v>-1.8310999999999922</v>
      </c>
      <c r="LT6">
        <f>-395.7367--395.5078</f>
        <v>-0.2289000000000101</v>
      </c>
      <c r="LU6">
        <f>-392.9901--392.0746</f>
        <v>-0.91550000000000864</v>
      </c>
      <c r="LV6">
        <f>-392.5323--391.3879</f>
        <v>-1.1444000000000187</v>
      </c>
      <c r="LW6">
        <f>-392.7612--391.8457</f>
        <v>-0.9154999999999518</v>
      </c>
      <c r="LX6">
        <f>-392.0746--391.3879</f>
        <v>-0.68669999999997344</v>
      </c>
      <c r="LY6">
        <f>-393.219--391.8457</f>
        <v>-1.373299999999972</v>
      </c>
      <c r="LZ6">
        <f>-391.8457--391.3879</f>
        <v>-0.45780000000002019</v>
      </c>
      <c r="MA6">
        <f>-394.8212--394.1345</f>
        <v>-0.68669999999997344</v>
      </c>
      <c r="MB6">
        <f>-389.0991--389.328</f>
        <v>0.22889999999995325</v>
      </c>
      <c r="MC6">
        <f>-395.9656--394.3634</f>
        <v>-1.6021999999999821</v>
      </c>
      <c r="MD6">
        <f>-395.5078--394.5923</f>
        <v>-0.9154999999999518</v>
      </c>
      <c r="MF6">
        <f>-398.2544--396.4233</f>
        <v>-1.8310999999999922</v>
      </c>
      <c r="MG6">
        <f>-404.4342--403.7476</f>
        <v>-0.68659999999999854</v>
      </c>
      <c r="MH6">
        <f>-399.3988--398.0255</f>
        <v>-1.373299999999972</v>
      </c>
      <c r="MI6">
        <f>-397.3389--396.1945</f>
        <v>-1.1444000000000187</v>
      </c>
      <c r="MJ6">
        <f>-396.4233--395.7367</f>
        <v>-0.68659999999999854</v>
      </c>
      <c r="MK6">
        <f>-396.6522--397.3389</f>
        <v>0.68670000000003029</v>
      </c>
      <c r="ML6">
        <f>-350.8759--350.1892</f>
        <v>-0.68669999999997344</v>
      </c>
      <c r="MM6">
        <f>-317.2302--315.8569</f>
        <v>-1.3733000000000288</v>
      </c>
      <c r="MN6">
        <f>-477.6764--476.3031</f>
        <v>-1.3733000000000288</v>
      </c>
      <c r="MP6">
        <f>-404.892--404.2053</f>
        <v>-0.68669999999997344</v>
      </c>
      <c r="MQ6">
        <f>-616.8365--616.6077</f>
        <v>-0.22879999999997835</v>
      </c>
      <c r="MR6">
        <f>-487.2894--486.8317</f>
        <v>-0.45769999999998845</v>
      </c>
      <c r="MS6">
        <f>-489.1205--486.8317</f>
        <v>-2.2887999999999806</v>
      </c>
      <c r="MT6">
        <f>-394.3634--393.6768</f>
        <v>-0.68659999999999854</v>
      </c>
      <c r="MU6">
        <f>-398.4833--398.941</f>
        <v>0.45769999999998845</v>
      </c>
      <c r="MV6">
        <f>-394.3634--394.1345</f>
        <v>-0.2289000000000101</v>
      </c>
      <c r="MW6">
        <f>-398.941--399.1699</f>
        <v>0.2289000000000101</v>
      </c>
      <c r="MX6">
        <f>-488.4338--487.9761</f>
        <v>-0.45770000000004529</v>
      </c>
      <c r="MY6">
        <f>-487.9761--487.7472</f>
        <v>-0.22889999999995325</v>
      </c>
      <c r="MZ6">
        <f>-483.6273--482.9407</f>
        <v>-0.68659999999999854</v>
      </c>
      <c r="NA6">
        <f>-459.8236--460.5103</f>
        <v>0.68669999999997344</v>
      </c>
      <c r="NB6">
        <f>-387.7258--383.606</f>
        <v>-4.1197999999999979</v>
      </c>
      <c r="NC6">
        <f>-387.7258--387.4969</f>
        <v>-0.2289000000000101</v>
      </c>
      <c r="ND6">
        <f>-386.5814--386.3525</f>
        <v>-0.22889999999995325</v>
      </c>
      <c r="NE6">
        <f>-389.5569--388.8702</f>
        <v>-0.68669999999997344</v>
      </c>
      <c r="NF6">
        <f>-388.8702--388.4125</f>
        <v>-0.45769999999998845</v>
      </c>
      <c r="NG6">
        <f>-390.2435--388.4125</f>
        <v>-1.8309999999999604</v>
      </c>
      <c r="NH6">
        <f>-394.3634--394.1345</f>
        <v>-0.2289000000000101</v>
      </c>
      <c r="NI6">
        <f>-389.7858--389.328</f>
        <v>-0.45780000000002019</v>
      </c>
      <c r="NJ6">
        <f>-395.9656--394.1345</f>
        <v>-1.8310999999999922</v>
      </c>
      <c r="NK6">
        <f>-388.4125--387.9547</f>
        <v>-0.45780000000002019</v>
      </c>
      <c r="NL6">
        <f>-390.2435--388.6414</f>
        <v>-1.6021000000000072</v>
      </c>
      <c r="NM6">
        <f>-392.5323--392.3035</f>
        <v>-0.2288000000000352</v>
      </c>
      <c r="NN6">
        <f>-389.0991--388.8702</f>
        <v>-0.2289000000000101</v>
      </c>
      <c r="NP6">
        <f>-392.9901--392.3035</f>
        <v>-0.68659999999999854</v>
      </c>
      <c r="NS6">
        <f>-395.5078--394.8212</f>
        <v>-0.68659999999999854</v>
      </c>
      <c r="NT6">
        <f>-396.4233--395.7367</f>
        <v>-0.68659999999999854</v>
      </c>
      <c r="NU6">
        <f>-395.2789--395.05</f>
        <v>-0.2289000000000101</v>
      </c>
      <c r="NV6">
        <f>-395.2789--395.5078</f>
        <v>0.22889999999995325</v>
      </c>
      <c r="NW6">
        <f>-400.5432--400.3143</f>
        <v>-0.2289000000000101</v>
      </c>
      <c r="NX6">
        <f>-395.9656--395.5078</f>
        <v>-0.45780000000002019</v>
      </c>
      <c r="NY6">
        <f>-395.5078--395.05</f>
        <v>-0.45779999999996335</v>
      </c>
      <c r="NZ6">
        <f>-395.05--394.5923</f>
        <v>-0.45769999999998845</v>
      </c>
      <c r="OB6">
        <f>-372.1619--371.933</f>
        <v>-0.2289000000000101</v>
      </c>
      <c r="OC6">
        <f>-398.2544--397.7966</f>
        <v>-0.45779999999996335</v>
      </c>
      <c r="OD6">
        <f>-371.4752--371.2463</f>
        <v>-0.22889999999995325</v>
      </c>
      <c r="OE6">
        <f>-373.0774--372.8485</f>
        <v>-0.2289000000000101</v>
      </c>
      <c r="OF6">
        <f>-373.0774--372.3907</f>
        <v>-0.68670000000003029</v>
      </c>
      <c r="OH6">
        <f>-395.9656--396.1945</f>
        <v>0.2289000000000101</v>
      </c>
      <c r="OI6">
        <f>-396.4233--395.5078</f>
        <v>-0.91550000000000864</v>
      </c>
      <c r="OJ6">
        <f>-394.8212--395.5078</f>
        <v>0.68659999999999854</v>
      </c>
      <c r="OK6">
        <f>-395.7367--396.4233</f>
        <v>0.68659999999999854</v>
      </c>
      <c r="OL6">
        <f>-393.9056--394.5923</f>
        <v>0.68670000000003029</v>
      </c>
      <c r="OM6">
        <f>-394.1345--393.6768</f>
        <v>-0.45769999999998845</v>
      </c>
      <c r="ON6">
        <f>-394.3634--393.4479</f>
        <v>-0.91550000000000864</v>
      </c>
      <c r="OO6">
        <f>-395.7367--394.8212</f>
        <v>-0.91550000000000864</v>
      </c>
      <c r="OP6">
        <f>-398.0255--397.7966</f>
        <v>-0.2289000000000101</v>
      </c>
      <c r="OQ6">
        <v>-1</v>
      </c>
      <c r="OR6">
        <v>-1</v>
      </c>
      <c r="OS6">
        <v>-1</v>
      </c>
      <c r="OT6">
        <v>-1</v>
      </c>
      <c r="OU6">
        <v>-1</v>
      </c>
      <c r="OV6">
        <v>-1</v>
      </c>
      <c r="OW6">
        <v>-1</v>
      </c>
      <c r="OX6">
        <v>-1</v>
      </c>
      <c r="OY6">
        <v>-1</v>
      </c>
      <c r="OZ6">
        <v>-1</v>
      </c>
      <c r="PA6">
        <v>-1</v>
      </c>
      <c r="PB6">
        <v>-1</v>
      </c>
      <c r="PC6">
        <v>-1</v>
      </c>
      <c r="PD6">
        <v>-1</v>
      </c>
      <c r="PE6">
        <v>-1</v>
      </c>
      <c r="PF6">
        <v>-1</v>
      </c>
      <c r="PG6">
        <v>-1</v>
      </c>
      <c r="PH6">
        <v>-1</v>
      </c>
      <c r="PI6">
        <v>-1</v>
      </c>
      <c r="PJ6">
        <v>-1</v>
      </c>
      <c r="PK6">
        <v>-1</v>
      </c>
      <c r="PL6">
        <v>-1</v>
      </c>
      <c r="PM6">
        <v>-1</v>
      </c>
      <c r="PN6">
        <v>-1</v>
      </c>
      <c r="PO6">
        <v>-1</v>
      </c>
      <c r="PP6">
        <v>-1</v>
      </c>
      <c r="PQ6">
        <v>-1</v>
      </c>
      <c r="PR6">
        <v>-1</v>
      </c>
      <c r="PS6">
        <v>-1</v>
      </c>
      <c r="PT6">
        <v>-1</v>
      </c>
      <c r="PU6">
        <v>-1</v>
      </c>
      <c r="PV6">
        <v>-1</v>
      </c>
      <c r="PW6">
        <v>-1</v>
      </c>
      <c r="PX6">
        <v>-1</v>
      </c>
      <c r="PY6">
        <v>-1</v>
      </c>
      <c r="PZ6">
        <v>-1</v>
      </c>
      <c r="QA6">
        <v>-1</v>
      </c>
      <c r="QB6">
        <v>-1</v>
      </c>
      <c r="QC6">
        <v>-1</v>
      </c>
      <c r="QD6">
        <v>-1</v>
      </c>
      <c r="QE6">
        <v>-1</v>
      </c>
      <c r="QF6">
        <v>-1</v>
      </c>
      <c r="QG6">
        <v>-1</v>
      </c>
      <c r="QH6">
        <v>-1</v>
      </c>
      <c r="QI6">
        <v>-1</v>
      </c>
      <c r="QJ6">
        <v>-1</v>
      </c>
      <c r="QK6">
        <v>-1</v>
      </c>
      <c r="QL6">
        <v>-1</v>
      </c>
    </row>
    <row r="7" spans="1:454" x14ac:dyDescent="0.25">
      <c r="A7" t="s">
        <v>1419</v>
      </c>
      <c r="B7" t="s">
        <v>869</v>
      </c>
      <c r="C7" t="s">
        <v>1420</v>
      </c>
      <c r="E7" t="s">
        <v>1421</v>
      </c>
      <c r="G7" t="s">
        <v>1225</v>
      </c>
      <c r="H7" t="s">
        <v>1422</v>
      </c>
      <c r="I7" t="s">
        <v>1177</v>
      </c>
      <c r="J7" t="s">
        <v>1423</v>
      </c>
      <c r="K7" t="s">
        <v>1424</v>
      </c>
      <c r="L7" t="s">
        <v>1425</v>
      </c>
      <c r="M7" t="s">
        <v>1426</v>
      </c>
      <c r="N7" t="s">
        <v>1427</v>
      </c>
      <c r="O7" t="s">
        <v>1297</v>
      </c>
      <c r="P7" t="s">
        <v>1428</v>
      </c>
      <c r="Q7" t="s">
        <v>1251</v>
      </c>
      <c r="R7" t="s">
        <v>1210</v>
      </c>
      <c r="S7" t="s">
        <v>1429</v>
      </c>
      <c r="T7" t="s">
        <v>1430</v>
      </c>
      <c r="U7" t="s">
        <v>1348</v>
      </c>
      <c r="V7" t="s">
        <v>1431</v>
      </c>
      <c r="W7" t="s">
        <v>1225</v>
      </c>
      <c r="X7" t="s">
        <v>1432</v>
      </c>
      <c r="Y7" t="s">
        <v>1433</v>
      </c>
      <c r="Z7" t="s">
        <v>1434</v>
      </c>
      <c r="AA7" t="s">
        <v>1435</v>
      </c>
      <c r="AB7" t="s">
        <v>1436</v>
      </c>
      <c r="AC7" t="s">
        <v>1437</v>
      </c>
      <c r="AD7" t="s">
        <v>1212</v>
      </c>
      <c r="AE7" t="s">
        <v>1189</v>
      </c>
      <c r="AF7" t="s">
        <v>1438</v>
      </c>
      <c r="AG7" t="s">
        <v>1439</v>
      </c>
      <c r="AH7" t="s">
        <v>879</v>
      </c>
      <c r="AI7" t="s">
        <v>1208</v>
      </c>
      <c r="AJ7" t="s">
        <v>898</v>
      </c>
      <c r="AL7" t="s">
        <v>1181</v>
      </c>
      <c r="AM7" t="s">
        <v>1440</v>
      </c>
      <c r="AN7" t="s">
        <v>1213</v>
      </c>
      <c r="AO7" t="s">
        <v>1441</v>
      </c>
      <c r="AQ7" t="s">
        <v>1442</v>
      </c>
      <c r="AR7" t="s">
        <v>1443</v>
      </c>
      <c r="AS7" t="s">
        <v>1444</v>
      </c>
      <c r="AT7" t="s">
        <v>1445</v>
      </c>
      <c r="AU7" t="s">
        <v>1446</v>
      </c>
      <c r="AW7" t="s">
        <v>1212</v>
      </c>
      <c r="AX7" t="s">
        <v>1248</v>
      </c>
      <c r="AY7" t="s">
        <v>1447</v>
      </c>
      <c r="BB7" t="s">
        <v>1448</v>
      </c>
      <c r="BF7" t="s">
        <v>1449</v>
      </c>
      <c r="BG7" t="s">
        <v>1450</v>
      </c>
      <c r="BH7" t="s">
        <v>1451</v>
      </c>
      <c r="BJ7" t="s">
        <v>1452</v>
      </c>
      <c r="BK7" t="s">
        <v>1453</v>
      </c>
      <c r="BL7" t="s">
        <v>1454</v>
      </c>
      <c r="BM7" t="s">
        <v>1455</v>
      </c>
      <c r="BP7" t="s">
        <v>1456</v>
      </c>
      <c r="BQ7" t="s">
        <v>1457</v>
      </c>
      <c r="BR7" t="s">
        <v>931</v>
      </c>
      <c r="BS7" t="s">
        <v>944</v>
      </c>
      <c r="BT7" t="s">
        <v>1169</v>
      </c>
      <c r="BU7" t="s">
        <v>1163</v>
      </c>
      <c r="BW7" t="s">
        <v>1458</v>
      </c>
      <c r="BX7" t="s">
        <v>1459</v>
      </c>
      <c r="BY7" t="s">
        <v>1460</v>
      </c>
      <c r="BZ7" t="s">
        <v>1461</v>
      </c>
      <c r="CA7" t="s">
        <v>1219</v>
      </c>
      <c r="CB7" t="s">
        <v>1250</v>
      </c>
      <c r="CC7" t="s">
        <v>1462</v>
      </c>
      <c r="CD7" t="s">
        <v>1225</v>
      </c>
      <c r="CE7" t="s">
        <v>1463</v>
      </c>
      <c r="CF7" t="s">
        <v>1464</v>
      </c>
      <c r="CG7" t="s">
        <v>911</v>
      </c>
      <c r="CH7" t="s">
        <v>1465</v>
      </c>
      <c r="CI7" t="s">
        <v>1466</v>
      </c>
      <c r="CJ7" t="s">
        <v>1467</v>
      </c>
      <c r="CK7" t="s">
        <v>1468</v>
      </c>
      <c r="CL7" t="s">
        <v>1469</v>
      </c>
      <c r="CM7" t="s">
        <v>971</v>
      </c>
      <c r="CN7" t="s">
        <v>1470</v>
      </c>
      <c r="CO7" t="s">
        <v>1471</v>
      </c>
      <c r="CP7" t="s">
        <v>1472</v>
      </c>
      <c r="CQ7" t="s">
        <v>1473</v>
      </c>
      <c r="CR7" t="s">
        <v>1209</v>
      </c>
      <c r="CS7" t="s">
        <v>1455</v>
      </c>
      <c r="CT7" t="s">
        <v>1469</v>
      </c>
      <c r="CU7" t="s">
        <v>1460</v>
      </c>
      <c r="CV7" t="s">
        <v>1474</v>
      </c>
      <c r="CW7" t="s">
        <v>1475</v>
      </c>
      <c r="CX7" t="s">
        <v>1153</v>
      </c>
      <c r="CY7" t="s">
        <v>1280</v>
      </c>
      <c r="CZ7" t="s">
        <v>1476</v>
      </c>
      <c r="DA7" t="s">
        <v>1477</v>
      </c>
      <c r="DB7" t="s">
        <v>1478</v>
      </c>
      <c r="DC7" t="s">
        <v>1479</v>
      </c>
      <c r="DD7" t="s">
        <v>1480</v>
      </c>
      <c r="DE7" t="s">
        <v>1481</v>
      </c>
      <c r="DF7" t="s">
        <v>1482</v>
      </c>
      <c r="DG7" t="s">
        <v>1483</v>
      </c>
      <c r="DH7" t="s">
        <v>1484</v>
      </c>
      <c r="DI7" t="s">
        <v>1485</v>
      </c>
      <c r="DJ7" t="s">
        <v>1486</v>
      </c>
      <c r="DK7" t="s">
        <v>1487</v>
      </c>
      <c r="DL7" t="s">
        <v>887</v>
      </c>
      <c r="DM7" t="s">
        <v>1488</v>
      </c>
      <c r="DO7" t="s">
        <v>1489</v>
      </c>
      <c r="DP7" t="s">
        <v>1490</v>
      </c>
      <c r="DQ7" t="s">
        <v>1415</v>
      </c>
      <c r="DR7" t="s">
        <v>1491</v>
      </c>
      <c r="DS7" t="s">
        <v>1101</v>
      </c>
      <c r="DT7" t="s">
        <v>1492</v>
      </c>
      <c r="DU7" t="s">
        <v>1493</v>
      </c>
      <c r="DV7" t="s">
        <v>1494</v>
      </c>
      <c r="DW7" t="s">
        <v>1495</v>
      </c>
      <c r="DX7" t="s">
        <v>1349</v>
      </c>
      <c r="DY7" t="s">
        <v>1005</v>
      </c>
      <c r="DZ7" t="s">
        <v>1496</v>
      </c>
      <c r="EA7" t="s">
        <v>1497</v>
      </c>
      <c r="EB7" t="s">
        <v>1304</v>
      </c>
      <c r="EC7" t="s">
        <v>1498</v>
      </c>
      <c r="EE7" t="s">
        <v>932</v>
      </c>
      <c r="EG7" t="s">
        <v>1159</v>
      </c>
      <c r="EH7" t="s">
        <v>1499</v>
      </c>
      <c r="EI7" t="s">
        <v>1108</v>
      </c>
      <c r="EJ7" t="s">
        <v>1021</v>
      </c>
      <c r="EK7" t="s">
        <v>874</v>
      </c>
      <c r="EL7" t="s">
        <v>1500</v>
      </c>
      <c r="EM7" t="s">
        <v>1501</v>
      </c>
      <c r="EN7" t="s">
        <v>953</v>
      </c>
      <c r="EO7" t="s">
        <v>1502</v>
      </c>
      <c r="EP7" t="s">
        <v>1170</v>
      </c>
      <c r="EQ7" t="s">
        <v>1347</v>
      </c>
      <c r="ER7" t="s">
        <v>1503</v>
      </c>
      <c r="ES7" t="s">
        <v>1504</v>
      </c>
      <c r="ET7" t="s">
        <v>1505</v>
      </c>
      <c r="EV7" t="s">
        <v>1506</v>
      </c>
      <c r="EW7" t="s">
        <v>1507</v>
      </c>
      <c r="EX7" t="s">
        <v>1508</v>
      </c>
      <c r="EY7" t="s">
        <v>1509</v>
      </c>
      <c r="EZ7" t="s">
        <v>1496</v>
      </c>
      <c r="FA7" t="s">
        <v>1510</v>
      </c>
      <c r="FB7" t="s">
        <v>1511</v>
      </c>
      <c r="FC7" t="s">
        <v>1035</v>
      </c>
      <c r="FD7" t="s">
        <v>1512</v>
      </c>
      <c r="FE7" t="s">
        <v>1513</v>
      </c>
      <c r="FF7" t="s">
        <v>1514</v>
      </c>
      <c r="FG7" t="s">
        <v>1515</v>
      </c>
      <c r="FH7" t="s">
        <v>936</v>
      </c>
      <c r="FJ7" t="s">
        <v>1516</v>
      </c>
      <c r="FK7" t="s">
        <v>1212</v>
      </c>
      <c r="FN7" t="s">
        <v>959</v>
      </c>
      <c r="FO7" t="s">
        <v>943</v>
      </c>
      <c r="FP7" t="s">
        <v>1277</v>
      </c>
      <c r="FQ7" t="s">
        <v>1489</v>
      </c>
      <c r="FR7" t="s">
        <v>1517</v>
      </c>
      <c r="FS7" t="s">
        <v>1350</v>
      </c>
      <c r="FT7" t="s">
        <v>1518</v>
      </c>
      <c r="FU7" t="s">
        <v>1464</v>
      </c>
      <c r="FW7" t="s">
        <v>1519</v>
      </c>
      <c r="FX7" t="s">
        <v>1220</v>
      </c>
      <c r="FY7" t="s">
        <v>1520</v>
      </c>
      <c r="FZ7" t="s">
        <v>939</v>
      </c>
      <c r="GA7" t="s">
        <v>1036</v>
      </c>
      <c r="GB7" t="s">
        <v>944</v>
      </c>
      <c r="GC7" t="s">
        <v>1521</v>
      </c>
      <c r="GD7" t="s">
        <v>1420</v>
      </c>
      <c r="GE7" t="s">
        <v>1519</v>
      </c>
      <c r="GF7" t="s">
        <v>1522</v>
      </c>
      <c r="GG7" t="s">
        <v>1348</v>
      </c>
      <c r="GH7" t="s">
        <v>1088</v>
      </c>
      <c r="GI7" t="s">
        <v>1523</v>
      </c>
      <c r="GJ7" t="s">
        <v>885</v>
      </c>
      <c r="GK7" t="s">
        <v>1398</v>
      </c>
      <c r="GL7" t="s">
        <v>1524</v>
      </c>
      <c r="GM7" t="s">
        <v>968</v>
      </c>
      <c r="GN7" t="s">
        <v>1416</v>
      </c>
      <c r="GO7" t="s">
        <v>1525</v>
      </c>
      <c r="GP7" t="s">
        <v>1242</v>
      </c>
      <c r="GQ7" t="s">
        <v>1526</v>
      </c>
      <c r="GR7" t="s">
        <v>1527</v>
      </c>
      <c r="GS7" t="s">
        <v>1528</v>
      </c>
      <c r="GT7" t="s">
        <v>1529</v>
      </c>
      <c r="GU7" t="s">
        <v>1530</v>
      </c>
      <c r="GV7" t="s">
        <v>1531</v>
      </c>
      <c r="GW7">
        <f>-399.1699--399.3988</f>
        <v>0.2289000000000101</v>
      </c>
      <c r="GY7">
        <f>-399.8566--400.3143</f>
        <v>0.45769999999998845</v>
      </c>
      <c r="GZ7">
        <f>-399.1699--398.941</f>
        <v>-0.2289000000000101</v>
      </c>
      <c r="HA7">
        <f>-402.1454--400.7721</f>
        <v>-1.373299999999972</v>
      </c>
      <c r="HB7">
        <f>-399.1699--398.4833</f>
        <v>-0.68659999999999854</v>
      </c>
      <c r="HC7">
        <f>-399.3988--398.7122</f>
        <v>-0.68659999999999854</v>
      </c>
      <c r="HE7">
        <f>-400.3143--400.5432</f>
        <v>0.2289000000000101</v>
      </c>
      <c r="HF7">
        <f>-398.7122--398.941</f>
        <v>0.22879999999997835</v>
      </c>
      <c r="HG7">
        <f>-399.3988--399.1699</f>
        <v>-0.2289000000000101</v>
      </c>
      <c r="HH7">
        <f>-397.7966--399.3988</f>
        <v>1.6021999999999821</v>
      </c>
      <c r="HJ7">
        <f>-398.7122--399.1699</f>
        <v>0.45769999999998845</v>
      </c>
      <c r="HK7">
        <f>-374.6796--375.3662</f>
        <v>0.68659999999999854</v>
      </c>
      <c r="HL7">
        <f>-374.9084--375.3662</f>
        <v>0.45780000000002019</v>
      </c>
      <c r="HM7">
        <f>-402.1454--402.832</f>
        <v>0.68659999999999854</v>
      </c>
      <c r="HO7">
        <f>-398.941--398.2544</f>
        <v>-0.68659999999999854</v>
      </c>
      <c r="HP7">
        <f>-398.7122--398.941</f>
        <v>0.22879999999997835</v>
      </c>
      <c r="HQ7">
        <f>-399.3988--398.4833</f>
        <v>-0.91550000000000864</v>
      </c>
      <c r="HS7">
        <f>-483.1696--482.9407</f>
        <v>-0.2289000000000101</v>
      </c>
      <c r="HT7">
        <f>-482.254--481.5674</f>
        <v>-0.68659999999999854</v>
      </c>
      <c r="HU7">
        <f>-492.0959--490.9515</f>
        <v>-1.1443999999999619</v>
      </c>
      <c r="HV7">
        <f>-398.0255--397.7966</f>
        <v>-0.2289000000000101</v>
      </c>
      <c r="HW7">
        <f>-399.3988--398.4833</f>
        <v>-0.91550000000000864</v>
      </c>
      <c r="HX7">
        <f>-397.5677--396.8811</f>
        <v>-0.68659999999999854</v>
      </c>
      <c r="HY7">
        <f>-397.11--397.3389</f>
        <v>0.2289000000000101</v>
      </c>
      <c r="HZ7">
        <f>-393.4479--395.5078</f>
        <v>2.0598999999999705</v>
      </c>
      <c r="IA7">
        <f>-394.3634--394.1345</f>
        <v>-0.2289000000000101</v>
      </c>
      <c r="IB7">
        <f>-392.9901--392.0746</f>
        <v>-0.91550000000000864</v>
      </c>
      <c r="IC7">
        <f>-392.5323--392.3035</f>
        <v>-0.2288000000000352</v>
      </c>
      <c r="ID7">
        <f>-398.4833--397.5677</f>
        <v>-0.91559999999998354</v>
      </c>
      <c r="IE7">
        <f>-397.3389--397.5677</f>
        <v>0.22879999999997835</v>
      </c>
      <c r="IF7">
        <f>-400.3143--400.5432</f>
        <v>0.2289000000000101</v>
      </c>
      <c r="IG7">
        <f>-397.3389--397.5677</f>
        <v>0.22879999999997835</v>
      </c>
      <c r="IH7">
        <f>-399.3988--398.941</f>
        <v>-0.45780000000002019</v>
      </c>
      <c r="II7">
        <f>-399.3988--399.8566</f>
        <v>0.45780000000002019</v>
      </c>
      <c r="IJ7">
        <f>-397.7966--397.5677</f>
        <v>-0.2289000000000101</v>
      </c>
      <c r="IK7">
        <f>-399.3988--399.8566</f>
        <v>0.45780000000002019</v>
      </c>
      <c r="IL7">
        <f>-358.6578--358.429</f>
        <v>-0.2288000000000352</v>
      </c>
      <c r="IM7">
        <f>-323.6389--324.0967</f>
        <v>0.45780000000002019</v>
      </c>
      <c r="IN7">
        <f>-402.1454--403.7476</f>
        <v>1.6021999999999821</v>
      </c>
      <c r="IO7">
        <f>-487.0605--487.5183</f>
        <v>0.45780000000002019</v>
      </c>
      <c r="IP7">
        <f>-492.5537--493.6981</f>
        <v>1.1444000000000187</v>
      </c>
      <c r="IQ7">
        <f>-401.6876--401.9165</f>
        <v>0.2289000000000101</v>
      </c>
      <c r="IR7">
        <f>-409.9274--410.1563</f>
        <v>0.2289000000000101</v>
      </c>
      <c r="IS7">
        <f>-406.0364--405.8075</f>
        <v>-0.2289000000000101</v>
      </c>
      <c r="IT7">
        <f>-400.5432--400.3143</f>
        <v>-0.2289000000000101</v>
      </c>
      <c r="IU7">
        <f>-485.4584--486.3739</f>
        <v>0.91550000000000864</v>
      </c>
      <c r="IV7">
        <f>-405.8075--405.5786</f>
        <v>-0.2289000000000101</v>
      </c>
      <c r="IW7">
        <f>-398.4833--398.941</f>
        <v>0.45769999999998845</v>
      </c>
      <c r="IX7">
        <f>-411.7584--412.2162</f>
        <v>0.45780000000002019</v>
      </c>
      <c r="IY7">
        <f>-488.6627--489.5782</f>
        <v>0.91550000000000864</v>
      </c>
      <c r="IZ7">
        <f>-490.4938--490.9515</f>
        <v>0.45769999999998845</v>
      </c>
      <c r="JA7">
        <f>-485.0006--486.6028</f>
        <v>1.6021999999999821</v>
      </c>
      <c r="JB7">
        <f>-488.8916--487.7472</f>
        <v>-1.1443999999999619</v>
      </c>
      <c r="JC7">
        <f>-399.6277--399.1699</f>
        <v>-0.45780000000002019</v>
      </c>
      <c r="JD7">
        <f>-388.4125--389.0991</f>
        <v>0.68659999999999854</v>
      </c>
      <c r="JE7">
        <f>-392.0746--392.5323</f>
        <v>0.45770000000004529</v>
      </c>
      <c r="JF7">
        <f>-391.6168--390.7013</f>
        <v>-0.91550000000000864</v>
      </c>
      <c r="JG7">
        <f>-392.9901--392.5323</f>
        <v>-0.45779999999996335</v>
      </c>
      <c r="JH7">
        <f>-396.6522--397.3389</f>
        <v>0.68670000000003029</v>
      </c>
      <c r="JI7">
        <f>-393.219--394.1345</f>
        <v>0.91550000000000864</v>
      </c>
      <c r="JJ7">
        <f>-398.4833--399.1699</f>
        <v>0.68659999999999854</v>
      </c>
      <c r="JK7">
        <f>-397.11--397.5677</f>
        <v>0.45769999999998845</v>
      </c>
      <c r="JL7">
        <f>-393.4479--392.9901</f>
        <v>-0.45780000000002019</v>
      </c>
      <c r="JM7">
        <f>-397.5677--396.8811</f>
        <v>-0.68659999999999854</v>
      </c>
      <c r="JN7">
        <f>-398.7122--398.0255</f>
        <v>-0.68669999999997344</v>
      </c>
      <c r="JO7">
        <f>-397.5677--397.3389</f>
        <v>-0.22879999999997835</v>
      </c>
      <c r="JP7">
        <f>-397.5677--397.3389</f>
        <v>-0.22879999999997835</v>
      </c>
      <c r="JQ7">
        <f>-397.11--396.6522</f>
        <v>-0.45780000000002019</v>
      </c>
      <c r="JR7">
        <f>-397.7966--398.4833</f>
        <v>0.68669999999997344</v>
      </c>
      <c r="JS7">
        <f>-398.7122--397.3389</f>
        <v>-1.373299999999972</v>
      </c>
      <c r="JT7">
        <f>-397.3389--396.8811</f>
        <v>-0.45780000000002019</v>
      </c>
      <c r="JU7">
        <f>-399.3988--398.941</f>
        <v>-0.45780000000002019</v>
      </c>
      <c r="JV7">
        <f>-396.8811--396.4233</f>
        <v>-0.45780000000002019</v>
      </c>
      <c r="JW7">
        <f>-397.11--397.5677</f>
        <v>0.45769999999998845</v>
      </c>
      <c r="JX7">
        <f>-396.8811--396.4233</f>
        <v>-0.45780000000002019</v>
      </c>
      <c r="JY7">
        <f>-440.3687--441.0553</f>
        <v>0.68659999999999854</v>
      </c>
      <c r="JZ7">
        <f>-397.7966--397.3389</f>
        <v>-0.45769999999998845</v>
      </c>
      <c r="KA7">
        <f>-408.0963--408.783</f>
        <v>0.68670000000003029</v>
      </c>
      <c r="KB7">
        <f>-398.0255--397.5677</f>
        <v>-0.45780000000002019</v>
      </c>
      <c r="KC7">
        <f>-398.2544--398.4833</f>
        <v>0.2289000000000101</v>
      </c>
      <c r="KD7">
        <f>-398.0255--396.6522</f>
        <v>-1.3733000000000288</v>
      </c>
      <c r="KE7">
        <f>-373.9929--375.3662</f>
        <v>1.373299999999972</v>
      </c>
      <c r="KF7">
        <f>-395.9656--396.1945</f>
        <v>0.2289000000000101</v>
      </c>
      <c r="KG7">
        <f>-374.6796--376.2817</f>
        <v>1.6021000000000072</v>
      </c>
      <c r="KH7">
        <f>-375.3662--376.0529</f>
        <v>0.68670000000003029</v>
      </c>
      <c r="KI7">
        <f>-374.2218--374.6796</f>
        <v>0.45780000000002019</v>
      </c>
      <c r="KJ7">
        <f>-396.1945--397.5677</f>
        <v>1.3731999999999971</v>
      </c>
      <c r="KL7">
        <f>-395.2789--394.8212</f>
        <v>-0.45770000000004529</v>
      </c>
      <c r="KM7">
        <f>-397.5677--396.8811</f>
        <v>-0.68659999999999854</v>
      </c>
      <c r="KN7">
        <f>-396.1945--396.4233</f>
        <v>0.22879999999997835</v>
      </c>
      <c r="KO7">
        <f>-395.05--394.8212</f>
        <v>-0.2288000000000352</v>
      </c>
      <c r="KP7">
        <f>-397.11--400.0854</f>
        <v>2.9753999999999792</v>
      </c>
      <c r="KQ7">
        <f>-406.723--407.6385</f>
        <v>0.91550000000000864</v>
      </c>
      <c r="KR7">
        <f>-399.1699--398.2544</f>
        <v>-0.91550000000000864</v>
      </c>
      <c r="KS7">
        <f>-398.4833--397.7966</f>
        <v>-0.68669999999997344</v>
      </c>
      <c r="KT7">
        <f>-399.8566--400.3143</f>
        <v>0.45769999999998845</v>
      </c>
      <c r="KU7">
        <f>-399.1699--398.2544</f>
        <v>-0.91550000000000864</v>
      </c>
      <c r="KV7">
        <f>-401.2299--412.4451</f>
        <v>11.215200000000038</v>
      </c>
      <c r="KW7">
        <f>-401.9165--400.7721</f>
        <v>-1.1443999999999619</v>
      </c>
      <c r="KX7">
        <f>-399.8566--400.5432</f>
        <v>0.68659999999999854</v>
      </c>
      <c r="KZ7">
        <f>-398.941--399.3988</f>
        <v>0.45780000000002019</v>
      </c>
      <c r="LA7">
        <f>-400.3143--399.8566</f>
        <v>-0.45769999999998845</v>
      </c>
      <c r="LC7">
        <f>-400.0854--399.6277</f>
        <v>-0.45769999999998845</v>
      </c>
      <c r="LD7">
        <f>-400.5432--399.6277</f>
        <v>-0.91550000000000864</v>
      </c>
      <c r="LE7">
        <f>-376.0529--375.3662</f>
        <v>-0.68670000000003029</v>
      </c>
      <c r="LF7">
        <f>-375.1373--374.9084</f>
        <v>-0.2289000000000101</v>
      </c>
      <c r="LG7">
        <f>-400.0854--400.5432</f>
        <v>0.45780000000002019</v>
      </c>
      <c r="LH7">
        <f>-400.5432--400.3143</f>
        <v>-0.2289000000000101</v>
      </c>
      <c r="LK7">
        <f>-398.7122--398.2544</f>
        <v>-0.45780000000002019</v>
      </c>
      <c r="LL7">
        <f>-401.2299--400.0854</f>
        <v>-1.1444999999999936</v>
      </c>
      <c r="LM7">
        <f>-403.9764--403.0609</f>
        <v>-0.91550000000000864</v>
      </c>
      <c r="LN7">
        <f>-400.0854--399.6277</f>
        <v>-0.45769999999998845</v>
      </c>
      <c r="LO7">
        <f>-478.8208--478.5919</f>
        <v>-0.2289000000000101</v>
      </c>
      <c r="LP7">
        <f>-481.3385--480.8807</f>
        <v>-0.45780000000002019</v>
      </c>
      <c r="LR7">
        <f>-397.11--396.4233</f>
        <v>-0.68670000000003029</v>
      </c>
      <c r="LS7">
        <f>-397.3389--396.4233</f>
        <v>-0.91560000000004038</v>
      </c>
      <c r="LT7">
        <f>-395.2789--395.5078</f>
        <v>0.22889999999995325</v>
      </c>
      <c r="LU7">
        <f>-394.5923--394.3634</f>
        <v>-0.2289000000000101</v>
      </c>
      <c r="LV7">
        <f>-395.7367--395.5078</f>
        <v>-0.2289000000000101</v>
      </c>
      <c r="LW7">
        <f>-395.5078--394.8212</f>
        <v>-0.68659999999999854</v>
      </c>
      <c r="LX7">
        <f>-394.1345--393.6768</f>
        <v>-0.45769999999998845</v>
      </c>
      <c r="LZ7">
        <f>-393.4479--392.7612</f>
        <v>-0.68670000000003029</v>
      </c>
      <c r="MA7">
        <f>-397.7966--397.3389</f>
        <v>-0.45769999999998845</v>
      </c>
      <c r="MB7">
        <f>-393.219--392.5323</f>
        <v>-0.68669999999997344</v>
      </c>
      <c r="MD7">
        <f>-397.3389--397.11</f>
        <v>-0.2289000000000101</v>
      </c>
      <c r="ME7">
        <f>-397.11--396.6522</f>
        <v>-0.45780000000002019</v>
      </c>
      <c r="MF7">
        <f>-399.3988--400.3143</f>
        <v>0.91550000000000864</v>
      </c>
      <c r="MH7">
        <f>-414.7339--414.0472</f>
        <v>-0.68670000000003029</v>
      </c>
      <c r="MI7">
        <f>-399.8566--400.5432</f>
        <v>0.68659999999999854</v>
      </c>
      <c r="MJ7">
        <f>-400.0854--401.4587</f>
        <v>1.3733000000000288</v>
      </c>
      <c r="MK7">
        <f>-398.941--399.8566</f>
        <v>0.91560000000004038</v>
      </c>
      <c r="ML7">
        <f>-354.538--354.9957</f>
        <v>0.45769999999998845</v>
      </c>
      <c r="MM7">
        <f>-319.2902--319.7479</f>
        <v>0.45769999999998845</v>
      </c>
      <c r="MN7">
        <f>-484.7717--486.3739</f>
        <v>1.6021999999999821</v>
      </c>
      <c r="MO7">
        <f>-488.6627--488.205</f>
        <v>-0.45769999999998845</v>
      </c>
      <c r="MP7">
        <f>-402.3743--402.6031</f>
        <v>0.22879999999997835</v>
      </c>
      <c r="MQ7">
        <f>-488.6627--489.8071</f>
        <v>1.1444000000000187</v>
      </c>
      <c r="MR7">
        <f>-488.4338--488.6627</f>
        <v>0.22889999999995325</v>
      </c>
      <c r="MS7">
        <f>-491.4093--492.0959</f>
        <v>0.68659999999999854</v>
      </c>
      <c r="MT7">
        <f>-401.2299--399.8566</f>
        <v>-1.373299999999972</v>
      </c>
      <c r="MU7">
        <f>-411.0718--411.5295</f>
        <v>0.45769999999998845</v>
      </c>
      <c r="MV7">
        <f>-395.9656--396.1945</f>
        <v>0.2289000000000101</v>
      </c>
      <c r="MW7">
        <f>-407.6385--408.5541</f>
        <v>0.91559999999998354</v>
      </c>
      <c r="MX7">
        <f>-492.7826--492.3248</f>
        <v>-0.45780000000002019</v>
      </c>
      <c r="MY7">
        <f>-495.5292--496.6736</f>
        <v>1.1444000000000187</v>
      </c>
      <c r="MZ7">
        <f>-488.8916--488.205</f>
        <v>-0.68659999999999854</v>
      </c>
      <c r="NA7">
        <f>-464.1724--463.7146</f>
        <v>-0.45779999999996335</v>
      </c>
      <c r="NB7">
        <f>-388.8702--387.7258</f>
        <v>-1.1444000000000187</v>
      </c>
      <c r="NC7">
        <f>-392.5323--392.3035</f>
        <v>-0.2288000000000352</v>
      </c>
      <c r="ND7">
        <f>-391.3879--392.0746</f>
        <v>0.68669999999997344</v>
      </c>
      <c r="NE7">
        <f>-392.7612--392.9901</f>
        <v>0.2289000000000101</v>
      </c>
      <c r="NF7">
        <f>-393.9056--393.4479</f>
        <v>-0.45769999999998845</v>
      </c>
      <c r="NG7">
        <f>-393.6768--393.9056</f>
        <v>0.22879999999997835</v>
      </c>
      <c r="NI7">
        <f>-393.9056--394.3634</f>
        <v>0.45780000000002019</v>
      </c>
      <c r="NJ7">
        <f>-397.5677--397.3389</f>
        <v>-0.22879999999997835</v>
      </c>
      <c r="NK7">
        <f>-393.6768--394.5923</f>
        <v>0.91550000000000864</v>
      </c>
      <c r="NL7">
        <f>-394.1345--394.8212</f>
        <v>0.68669999999997344</v>
      </c>
      <c r="NM7">
        <f>-397.11--397.5677</f>
        <v>0.45769999999998845</v>
      </c>
      <c r="NN7">
        <f>-391.6168--391.8457</f>
        <v>0.2289000000000101</v>
      </c>
      <c r="NO7">
        <f>-395.2789--396.4233</f>
        <v>1.1443999999999619</v>
      </c>
      <c r="NQ7">
        <f>-397.7966--398.4833</f>
        <v>0.68669999999997344</v>
      </c>
      <c r="NR7">
        <f>-396.6522--396.4233</f>
        <v>-0.2289000000000101</v>
      </c>
      <c r="NS7">
        <f>-396.6522--396.1945</f>
        <v>-0.45769999999998845</v>
      </c>
      <c r="NT7">
        <f>-400.3143--400.0854</f>
        <v>-0.2289000000000101</v>
      </c>
      <c r="NU7">
        <f>-398.0255--397.5677</f>
        <v>-0.45780000000002019</v>
      </c>
      <c r="NW7">
        <f>-402.6031--403.0609</f>
        <v>0.45780000000002019</v>
      </c>
      <c r="NX7">
        <f>-395.9656--396.8811</f>
        <v>0.91550000000000864</v>
      </c>
      <c r="NY7">
        <f>-396.8811--397.3389</f>
        <v>0.45780000000002019</v>
      </c>
      <c r="NZ7">
        <f>-397.5677--398.0255</f>
        <v>0.45780000000002019</v>
      </c>
      <c r="OA7">
        <f>-397.5677--399.1699</f>
        <v>1.6021999999999821</v>
      </c>
      <c r="OC7">
        <f>-395.7367--395.2789</f>
        <v>-0.45779999999996335</v>
      </c>
      <c r="OD7">
        <f>-375.824--375.3662</f>
        <v>-0.45780000000002019</v>
      </c>
      <c r="OE7">
        <f>-373.3063--373.5352</f>
        <v>0.22889999999995325</v>
      </c>
      <c r="OF7">
        <f>-374.4507--374.6796</f>
        <v>0.2289000000000101</v>
      </c>
      <c r="OG7">
        <f>-398.2544--397.7966</f>
        <v>-0.45779999999996335</v>
      </c>
      <c r="OH7">
        <f>-396.1945--397.11</f>
        <v>0.91550000000000864</v>
      </c>
      <c r="OI7">
        <f>-397.3389--397.5677</f>
        <v>0.22879999999997835</v>
      </c>
      <c r="OJ7">
        <f>-395.2789--397.7966</f>
        <v>2.5176999999999907</v>
      </c>
      <c r="OK7">
        <f>-396.8811--397.11</f>
        <v>0.2289000000000101</v>
      </c>
      <c r="OM7">
        <f>-394.8212--395.05</f>
        <v>0.2288000000000352</v>
      </c>
      <c r="ON7">
        <f>-397.5677--397.7966</f>
        <v>0.2289000000000101</v>
      </c>
      <c r="OO7">
        <f>-400.3143--400.5432</f>
        <v>0.2289000000000101</v>
      </c>
      <c r="OP7">
        <f>-400.5432--402.832</f>
        <v>2.2887999999999806</v>
      </c>
      <c r="PV7" t="s">
        <v>1532</v>
      </c>
      <c r="QE7">
        <v>-1</v>
      </c>
      <c r="QF7">
        <v>-1</v>
      </c>
      <c r="QG7">
        <v>-1</v>
      </c>
      <c r="QH7">
        <v>-1</v>
      </c>
      <c r="QI7">
        <v>-1</v>
      </c>
      <c r="QJ7">
        <v>-1</v>
      </c>
      <c r="QK7">
        <v>-1</v>
      </c>
      <c r="QL7">
        <v>-1</v>
      </c>
    </row>
    <row r="8" spans="1:454" x14ac:dyDescent="0.25">
      <c r="A8" t="s">
        <v>1533</v>
      </c>
      <c r="B8" t="s">
        <v>869</v>
      </c>
      <c r="C8" t="s">
        <v>1009</v>
      </c>
      <c r="D8" t="s">
        <v>1401</v>
      </c>
      <c r="E8" t="s">
        <v>1534</v>
      </c>
      <c r="F8" t="s">
        <v>1036</v>
      </c>
      <c r="G8" t="s">
        <v>1413</v>
      </c>
      <c r="H8" t="s">
        <v>1535</v>
      </c>
      <c r="I8" t="s">
        <v>1536</v>
      </c>
      <c r="J8" t="s">
        <v>1537</v>
      </c>
      <c r="K8" t="s">
        <v>1538</v>
      </c>
      <c r="L8" t="s">
        <v>1539</v>
      </c>
      <c r="M8" t="s">
        <v>1540</v>
      </c>
      <c r="N8" t="s">
        <v>1541</v>
      </c>
      <c r="O8" t="s">
        <v>1542</v>
      </c>
      <c r="P8" t="s">
        <v>1543</v>
      </c>
      <c r="R8" t="s">
        <v>1499</v>
      </c>
      <c r="S8" t="s">
        <v>1544</v>
      </c>
      <c r="T8" t="s">
        <v>1164</v>
      </c>
      <c r="U8" t="s">
        <v>1195</v>
      </c>
      <c r="V8" t="s">
        <v>1545</v>
      </c>
      <c r="W8" t="s">
        <v>1546</v>
      </c>
      <c r="X8" t="s">
        <v>1547</v>
      </c>
      <c r="Y8" t="s">
        <v>1548</v>
      </c>
      <c r="Z8" t="s">
        <v>1549</v>
      </c>
      <c r="AA8" t="s">
        <v>1550</v>
      </c>
      <c r="AB8" t="s">
        <v>1551</v>
      </c>
      <c r="AC8" t="s">
        <v>1552</v>
      </c>
      <c r="AD8" t="s">
        <v>1553</v>
      </c>
      <c r="AE8" t="s">
        <v>1554</v>
      </c>
      <c r="AF8" t="s">
        <v>1555</v>
      </c>
      <c r="AH8" t="s">
        <v>1400</v>
      </c>
      <c r="AI8" t="s">
        <v>1556</v>
      </c>
      <c r="AJ8" t="s">
        <v>1557</v>
      </c>
      <c r="AK8" t="s">
        <v>1454</v>
      </c>
      <c r="AL8" t="s">
        <v>1402</v>
      </c>
      <c r="AM8" t="s">
        <v>1558</v>
      </c>
      <c r="AO8" t="s">
        <v>1559</v>
      </c>
      <c r="AP8" t="s">
        <v>949</v>
      </c>
      <c r="AQ8" t="s">
        <v>1560</v>
      </c>
      <c r="AR8" t="s">
        <v>1561</v>
      </c>
      <c r="AS8" t="s">
        <v>1562</v>
      </c>
      <c r="AT8" t="s">
        <v>1017</v>
      </c>
      <c r="AV8" t="s">
        <v>1563</v>
      </c>
      <c r="AX8" t="s">
        <v>1251</v>
      </c>
      <c r="AY8" t="s">
        <v>1564</v>
      </c>
      <c r="AZ8" t="s">
        <v>1264</v>
      </c>
      <c r="BA8" t="s">
        <v>1565</v>
      </c>
      <c r="BB8" t="s">
        <v>896</v>
      </c>
      <c r="BD8" t="s">
        <v>1566</v>
      </c>
      <c r="BE8" t="s">
        <v>1567</v>
      </c>
      <c r="BG8" t="s">
        <v>1568</v>
      </c>
      <c r="BI8" t="s">
        <v>1569</v>
      </c>
      <c r="BJ8" t="s">
        <v>1570</v>
      </c>
      <c r="BK8" t="s">
        <v>1571</v>
      </c>
      <c r="BL8" t="s">
        <v>1012</v>
      </c>
      <c r="BM8" t="s">
        <v>996</v>
      </c>
      <c r="BN8" t="s">
        <v>1274</v>
      </c>
      <c r="BO8" t="s">
        <v>1572</v>
      </c>
      <c r="BP8" t="s">
        <v>1573</v>
      </c>
      <c r="BQ8" t="s">
        <v>1574</v>
      </c>
      <c r="BR8" t="s">
        <v>1035</v>
      </c>
      <c r="BS8" t="s">
        <v>1575</v>
      </c>
      <c r="BT8" t="s">
        <v>1576</v>
      </c>
      <c r="BU8" t="s">
        <v>1207</v>
      </c>
      <c r="BV8" t="s">
        <v>1283</v>
      </c>
      <c r="BW8" t="s">
        <v>872</v>
      </c>
      <c r="BX8" t="s">
        <v>1035</v>
      </c>
      <c r="BY8" t="s">
        <v>1554</v>
      </c>
      <c r="BZ8" t="s">
        <v>1577</v>
      </c>
      <c r="CA8" t="s">
        <v>931</v>
      </c>
      <c r="CB8" t="s">
        <v>948</v>
      </c>
      <c r="CC8" t="s">
        <v>1448</v>
      </c>
      <c r="CE8" t="s">
        <v>1578</v>
      </c>
      <c r="CF8" t="s">
        <v>936</v>
      </c>
      <c r="CG8" t="s">
        <v>1579</v>
      </c>
      <c r="CI8" t="s">
        <v>1207</v>
      </c>
      <c r="CJ8" t="s">
        <v>1573</v>
      </c>
      <c r="CK8" t="s">
        <v>1214</v>
      </c>
      <c r="CM8" t="s">
        <v>1033</v>
      </c>
      <c r="CN8" t="s">
        <v>1580</v>
      </c>
      <c r="CO8" t="s">
        <v>994</v>
      </c>
      <c r="CQ8" t="s">
        <v>1581</v>
      </c>
      <c r="CR8" t="s">
        <v>1582</v>
      </c>
      <c r="CS8" t="s">
        <v>1583</v>
      </c>
      <c r="CT8" t="s">
        <v>885</v>
      </c>
      <c r="CV8" t="s">
        <v>928</v>
      </c>
      <c r="CW8" t="s">
        <v>1584</v>
      </c>
      <c r="CX8" t="s">
        <v>1004</v>
      </c>
      <c r="CZ8" t="s">
        <v>1585</v>
      </c>
      <c r="DA8" t="s">
        <v>1586</v>
      </c>
      <c r="DB8" t="s">
        <v>1587</v>
      </c>
      <c r="DC8" t="s">
        <v>1588</v>
      </c>
      <c r="DD8" t="s">
        <v>1589</v>
      </c>
      <c r="DE8" t="s">
        <v>1590</v>
      </c>
      <c r="DF8" t="s">
        <v>1591</v>
      </c>
      <c r="DG8" t="s">
        <v>1592</v>
      </c>
      <c r="DH8" t="s">
        <v>1593</v>
      </c>
      <c r="DI8" t="s">
        <v>1594</v>
      </c>
      <c r="DJ8" t="s">
        <v>1595</v>
      </c>
      <c r="DK8" t="s">
        <v>1108</v>
      </c>
      <c r="DL8" t="s">
        <v>950</v>
      </c>
      <c r="DM8" t="s">
        <v>870</v>
      </c>
      <c r="DN8" t="s">
        <v>928</v>
      </c>
      <c r="DO8" t="s">
        <v>1277</v>
      </c>
      <c r="DR8" t="s">
        <v>1091</v>
      </c>
      <c r="DT8" t="s">
        <v>901</v>
      </c>
      <c r="DU8" t="s">
        <v>890</v>
      </c>
      <c r="DV8" t="s">
        <v>1596</v>
      </c>
      <c r="DW8" t="s">
        <v>1597</v>
      </c>
      <c r="DX8" t="s">
        <v>1465</v>
      </c>
      <c r="DY8" t="s">
        <v>1598</v>
      </c>
      <c r="EA8" t="s">
        <v>1599</v>
      </c>
      <c r="EB8" t="s">
        <v>1600</v>
      </c>
      <c r="EC8" t="s">
        <v>1020</v>
      </c>
      <c r="ED8" t="s">
        <v>886</v>
      </c>
      <c r="EE8" t="s">
        <v>1269</v>
      </c>
      <c r="EF8" t="s">
        <v>998</v>
      </c>
      <c r="EG8" t="s">
        <v>1601</v>
      </c>
      <c r="EH8" t="s">
        <v>1460</v>
      </c>
      <c r="EI8" t="s">
        <v>1448</v>
      </c>
      <c r="EJ8" t="s">
        <v>910</v>
      </c>
      <c r="EK8" t="s">
        <v>998</v>
      </c>
      <c r="EL8" t="s">
        <v>1602</v>
      </c>
      <c r="EM8" t="s">
        <v>1603</v>
      </c>
      <c r="EN8" t="s">
        <v>1604</v>
      </c>
      <c r="EO8" t="s">
        <v>1605</v>
      </c>
      <c r="EP8" t="s">
        <v>1517</v>
      </c>
      <c r="EQ8" t="s">
        <v>1556</v>
      </c>
      <c r="ER8" t="s">
        <v>1606</v>
      </c>
      <c r="ES8" t="s">
        <v>1607</v>
      </c>
      <c r="ET8" t="s">
        <v>1608</v>
      </c>
      <c r="EU8" t="s">
        <v>1508</v>
      </c>
      <c r="EV8" t="s">
        <v>1609</v>
      </c>
      <c r="EW8" t="s">
        <v>1610</v>
      </c>
      <c r="EX8" t="s">
        <v>1611</v>
      </c>
      <c r="EY8" t="s">
        <v>1612</v>
      </c>
      <c r="EZ8" t="s">
        <v>1213</v>
      </c>
      <c r="FA8" t="s">
        <v>1613</v>
      </c>
      <c r="FB8" t="s">
        <v>1017</v>
      </c>
      <c r="FC8" t="s">
        <v>1194</v>
      </c>
      <c r="FD8" t="s">
        <v>1614</v>
      </c>
      <c r="FE8" t="s">
        <v>1615</v>
      </c>
      <c r="FF8" t="s">
        <v>1616</v>
      </c>
      <c r="FH8" t="s">
        <v>1017</v>
      </c>
      <c r="FI8" t="s">
        <v>903</v>
      </c>
      <c r="FJ8" t="s">
        <v>1617</v>
      </c>
      <c r="FK8" t="s">
        <v>1242</v>
      </c>
      <c r="FL8" t="s">
        <v>1021</v>
      </c>
      <c r="FM8" t="s">
        <v>1468</v>
      </c>
      <c r="FN8" t="s">
        <v>1108</v>
      </c>
      <c r="FO8" t="s">
        <v>1223</v>
      </c>
      <c r="FP8" t="s">
        <v>1517</v>
      </c>
      <c r="FQ8" t="s">
        <v>946</v>
      </c>
      <c r="FR8" t="s">
        <v>1618</v>
      </c>
      <c r="FS8" t="s">
        <v>1619</v>
      </c>
      <c r="FT8" t="s">
        <v>900</v>
      </c>
      <c r="FU8" t="s">
        <v>1556</v>
      </c>
      <c r="FV8" t="s">
        <v>1620</v>
      </c>
      <c r="FW8" t="s">
        <v>1621</v>
      </c>
      <c r="FX8" t="s">
        <v>876</v>
      </c>
      <c r="FY8" t="s">
        <v>1416</v>
      </c>
      <c r="GA8" t="s">
        <v>1499</v>
      </c>
      <c r="GB8" t="s">
        <v>1210</v>
      </c>
      <c r="GC8" t="s">
        <v>1622</v>
      </c>
      <c r="GD8" t="s">
        <v>1304</v>
      </c>
      <c r="GE8" t="s">
        <v>1573</v>
      </c>
      <c r="GF8" t="s">
        <v>932</v>
      </c>
      <c r="GG8" t="s">
        <v>945</v>
      </c>
      <c r="GI8" t="s">
        <v>972</v>
      </c>
      <c r="GK8" t="s">
        <v>1623</v>
      </c>
      <c r="GL8" t="s">
        <v>1624</v>
      </c>
      <c r="GM8" t="s">
        <v>1402</v>
      </c>
      <c r="GN8" t="s">
        <v>998</v>
      </c>
      <c r="GO8" t="s">
        <v>1475</v>
      </c>
      <c r="GP8" t="s">
        <v>1304</v>
      </c>
      <c r="GQ8" t="s">
        <v>1617</v>
      </c>
      <c r="GR8" t="s">
        <v>1625</v>
      </c>
      <c r="GS8" t="s">
        <v>1275</v>
      </c>
      <c r="GT8" t="s">
        <v>1156</v>
      </c>
      <c r="GU8" t="s">
        <v>1626</v>
      </c>
      <c r="GV8" t="s">
        <v>1627</v>
      </c>
      <c r="GW8">
        <f>-400.7721--399.6277</f>
        <v>-1.1444000000000187</v>
      </c>
      <c r="GX8">
        <f>-398.2544--397.3389</f>
        <v>-0.9154999999999518</v>
      </c>
      <c r="GY8">
        <f>-397.3389--399.6277</f>
        <v>2.2887999999999806</v>
      </c>
      <c r="GZ8">
        <f>-398.0255--397.5677</f>
        <v>-0.45780000000002019</v>
      </c>
      <c r="HA8">
        <f>-399.1699--397.7966</f>
        <v>-1.373299999999972</v>
      </c>
      <c r="HB8">
        <f>-400.0854--401.2299</f>
        <v>1.1444999999999936</v>
      </c>
      <c r="HC8">
        <f>-400.0854--399.6277</f>
        <v>-0.45769999999998845</v>
      </c>
      <c r="HD8">
        <f>-399.1699--399.8566</f>
        <v>0.68670000000003029</v>
      </c>
      <c r="HE8">
        <f>-398.2544--398.4833</f>
        <v>0.2289000000000101</v>
      </c>
      <c r="HF8">
        <f>-401.001--400.5432</f>
        <v>-0.45779999999996335</v>
      </c>
      <c r="HH8">
        <f>-400.3143--400.7721</f>
        <v>0.45780000000002019</v>
      </c>
      <c r="HI8">
        <f>-401.4587--401.001</f>
        <v>-0.45770000000004529</v>
      </c>
      <c r="HJ8">
        <f>-402.832--403.2898</f>
        <v>0.45780000000002019</v>
      </c>
      <c r="HK8">
        <f>-376.9684--377.8839</f>
        <v>0.91550000000000864</v>
      </c>
      <c r="HL8">
        <f>-377.1973--376.7395</f>
        <v>-0.45779999999996335</v>
      </c>
      <c r="HM8">
        <f>-400.0854--399.8566</f>
        <v>-0.22879999999997835</v>
      </c>
      <c r="HN8">
        <f>-401.4587--401.9165</f>
        <v>0.45779999999996335</v>
      </c>
      <c r="HO8">
        <f>-401.4587--401.9165</f>
        <v>0.45779999999996335</v>
      </c>
      <c r="HP8">
        <f>-402.1454--403.2898</f>
        <v>1.1444000000000187</v>
      </c>
      <c r="HS8">
        <f>-482.4829--482.0251</f>
        <v>-0.45779999999996335</v>
      </c>
      <c r="HU8">
        <f>-489.8071--489.3494</f>
        <v>-0.45769999999998845</v>
      </c>
      <c r="HV8">
        <f>-398.941--398.0255</f>
        <v>-0.9154999999999518</v>
      </c>
      <c r="HW8">
        <f>-399.6277--398.2544</f>
        <v>-1.3733000000000288</v>
      </c>
      <c r="HX8">
        <f>-398.4833--397.5677</f>
        <v>-0.91559999999998354</v>
      </c>
      <c r="HY8">
        <f>-396.6522--397.11</f>
        <v>0.45780000000002019</v>
      </c>
      <c r="HZ8">
        <f>-394.8212--395.05</f>
        <v>0.2288000000000352</v>
      </c>
      <c r="IA8">
        <f>-394.8212--394.5923</f>
        <v>-0.22889999999995325</v>
      </c>
      <c r="IB8">
        <f>-393.219--392.5323</f>
        <v>-0.68669999999997344</v>
      </c>
      <c r="IC8">
        <f>-393.6768--394.1345</f>
        <v>0.45769999999998845</v>
      </c>
      <c r="IG8">
        <f>-397.3389--398.941</f>
        <v>1.6020999999999503</v>
      </c>
      <c r="IH8">
        <f>-396.8811--397.11</f>
        <v>0.2289000000000101</v>
      </c>
      <c r="II8">
        <f>-398.4833--399.3988</f>
        <v>0.91550000000000864</v>
      </c>
      <c r="IJ8">
        <f>-398.4833--399.1699</f>
        <v>0.68659999999999854</v>
      </c>
      <c r="IK8">
        <f>-399.3988--399.8566</f>
        <v>0.45780000000002019</v>
      </c>
      <c r="IL8">
        <f>-357.9712--358.2001</f>
        <v>0.2289000000000101</v>
      </c>
      <c r="IM8">
        <f>-322.7234--323.6389</f>
        <v>0.9154999999999518</v>
      </c>
      <c r="IO8">
        <f>-486.3739--486.145</f>
        <v>-0.2289000000000101</v>
      </c>
      <c r="IP8">
        <f>-490.4938--491.4093</f>
        <v>0.9154999999999518</v>
      </c>
      <c r="IR8">
        <f>-405.3497--404.6631</f>
        <v>-0.68659999999999854</v>
      </c>
      <c r="IS8">
        <f>-400.5432--401.2299</f>
        <v>0.68669999999997344</v>
      </c>
      <c r="IU8">
        <f>-484.314--485.0006</f>
        <v>0.68659999999999854</v>
      </c>
      <c r="IV8">
        <f>-405.1208--404.6631</f>
        <v>-0.45769999999998845</v>
      </c>
      <c r="IW8">
        <f>-397.5677--398.941</f>
        <v>1.373299999999972</v>
      </c>
      <c r="IY8">
        <f>-489.1205--488.8916</f>
        <v>-0.2289000000000101</v>
      </c>
      <c r="IZ8">
        <f>-492.7826--493.4692</f>
        <v>0.68659999999999854</v>
      </c>
      <c r="JB8">
        <f>-486.6028--485.9161</f>
        <v>-0.68670000000003029</v>
      </c>
      <c r="JC8">
        <f>-406.9519--406.723</f>
        <v>-0.2289000000000101</v>
      </c>
      <c r="JD8">
        <f>-389.328--390.0146</f>
        <v>0.68659999999999854</v>
      </c>
      <c r="JE8">
        <f>-391.8457--392.0746</f>
        <v>0.22889999999995325</v>
      </c>
      <c r="JF8">
        <f>-392.7612--391.8457</f>
        <v>-0.9154999999999518</v>
      </c>
      <c r="JG8">
        <f>-392.7612--392.5323</f>
        <v>-0.22889999999995325</v>
      </c>
      <c r="JH8">
        <f>-400.0854--399.8566</f>
        <v>-0.22879999999997835</v>
      </c>
      <c r="JI8">
        <f>-391.6168--392.5323</f>
        <v>0.91550000000000864</v>
      </c>
      <c r="JJ8">
        <f>-397.5677--396.8811</f>
        <v>-0.68659999999999854</v>
      </c>
      <c r="JK8">
        <f>-397.5677--397.11</f>
        <v>-0.45769999999998845</v>
      </c>
      <c r="JL8">
        <f>-393.6768--392.7612</f>
        <v>-0.91560000000004038</v>
      </c>
      <c r="JN8">
        <f>-395.9656--397.3389</f>
        <v>1.3733000000000288</v>
      </c>
      <c r="JO8">
        <f>-395.9656--395.7367</f>
        <v>-0.2289000000000101</v>
      </c>
      <c r="JP8">
        <f>-395.9656--395.7367</f>
        <v>-0.2289000000000101</v>
      </c>
      <c r="JQ8">
        <f>-396.4233--395.9656</f>
        <v>-0.45769999999998845</v>
      </c>
      <c r="JR8">
        <f>-396.4233--396.8811</f>
        <v>0.45780000000002019</v>
      </c>
      <c r="JS8">
        <f>-398.941--397.7966</f>
        <v>-1.1443999999999619</v>
      </c>
      <c r="JT8">
        <f>-397.5677--398.0255</f>
        <v>0.45780000000002019</v>
      </c>
      <c r="JU8">
        <f>-397.5677--398.0255</f>
        <v>0.45780000000002019</v>
      </c>
      <c r="JV8">
        <f>-396.6522--397.11</f>
        <v>0.45780000000002019</v>
      </c>
      <c r="JW8">
        <f>-398.2544--398.7122</f>
        <v>0.45780000000002019</v>
      </c>
      <c r="JY8">
        <f>-440.1398--440.5975</f>
        <v>0.45770000000004529</v>
      </c>
      <c r="KA8">
        <f>-406.2653--406.9519</f>
        <v>0.68659999999999854</v>
      </c>
      <c r="KC8">
        <f>-397.5677--397.11</f>
        <v>-0.45769999999998845</v>
      </c>
      <c r="KD8">
        <f>-397.11--396.4233</f>
        <v>-0.68670000000003029</v>
      </c>
      <c r="KE8">
        <f>-371.933--373.5352</f>
        <v>1.6021999999999821</v>
      </c>
      <c r="KG8">
        <f>-374.2218--374.9084</f>
        <v>0.68659999999999854</v>
      </c>
      <c r="KK8">
        <f>-396.8811--397.11</f>
        <v>0.2289000000000101</v>
      </c>
      <c r="KM8">
        <f>-396.4233--396.1945</f>
        <v>-0.22879999999997835</v>
      </c>
      <c r="KN8">
        <f>-395.05--395.2789</f>
        <v>0.2289000000000101</v>
      </c>
      <c r="KO8">
        <f>-399.1699--397.5677</f>
        <v>-1.6021999999999821</v>
      </c>
      <c r="KQ8">
        <f>-403.5187--403.2898</f>
        <v>-0.2289000000000101</v>
      </c>
      <c r="KT8">
        <f>-401.001--401.9165</f>
        <v>0.91550000000000864</v>
      </c>
      <c r="KU8">
        <f>-399.3988--399.6277</f>
        <v>0.2289000000000101</v>
      </c>
      <c r="KV8">
        <f>-401.6876--403.7476</f>
        <v>2.0600000000000023</v>
      </c>
      <c r="KW8">
        <f>-399.1699--398.7122</f>
        <v>-0.45769999999998845</v>
      </c>
      <c r="KX8">
        <f>-398.4833--398.941</f>
        <v>0.45769999999998845</v>
      </c>
      <c r="KY8">
        <f>-402.6031--402.832</f>
        <v>0.2289000000000101</v>
      </c>
      <c r="KZ8">
        <f>-399.8566--400.5432</f>
        <v>0.68659999999999854</v>
      </c>
      <c r="LA8">
        <f>-400.3143--399.8566</f>
        <v>-0.45769999999998845</v>
      </c>
      <c r="LB8">
        <f>-399.3988--399.1699</f>
        <v>-0.2289000000000101</v>
      </c>
      <c r="LC8">
        <f>-398.941--398.0255</f>
        <v>-0.9154999999999518</v>
      </c>
      <c r="LD8">
        <f>-400.7721--401.4587</f>
        <v>0.68659999999999854</v>
      </c>
      <c r="LE8">
        <f>-378.1128--376.7395</f>
        <v>-1.373299999999972</v>
      </c>
      <c r="LF8">
        <f>-376.2817--376.5106</f>
        <v>0.2289000000000101</v>
      </c>
      <c r="LI8">
        <f>-402.6031--402.3743</f>
        <v>-0.22879999999997835</v>
      </c>
      <c r="LJ8">
        <f>-400.3143--400.7721</f>
        <v>0.45780000000002019</v>
      </c>
      <c r="LK8">
        <f>-398.941--398.4833</f>
        <v>-0.45769999999998845</v>
      </c>
      <c r="LL8">
        <f>-399.1699--398.7122</f>
        <v>-0.45769999999998845</v>
      </c>
      <c r="LM8">
        <f>-401.4587--401.6876</f>
        <v>0.22889999999995325</v>
      </c>
      <c r="LN8">
        <f>-400.3143--400.5432</f>
        <v>0.2289000000000101</v>
      </c>
      <c r="LO8">
        <f>-479.9652--480.1941</f>
        <v>0.2289000000000101</v>
      </c>
      <c r="LP8">
        <f>-478.1342--477.6764</f>
        <v>-0.45780000000002019</v>
      </c>
      <c r="LQ8">
        <f>-484.314--485.4584</f>
        <v>1.1443999999999619</v>
      </c>
      <c r="LR8">
        <f>-399.3988--398.0255</f>
        <v>-1.373299999999972</v>
      </c>
      <c r="LS8">
        <f>-396.6522--396.4233</f>
        <v>-0.2289000000000101</v>
      </c>
      <c r="LU8">
        <f>-397.5677--396.8811</f>
        <v>-0.68659999999999854</v>
      </c>
      <c r="LV8">
        <f>-394.3634--394.1345</f>
        <v>-0.2289000000000101</v>
      </c>
      <c r="LW8">
        <f>-394.5923--393.6768</f>
        <v>-0.91550000000000864</v>
      </c>
      <c r="LY8">
        <f>-394.5923--394.1345</f>
        <v>-0.45780000000002019</v>
      </c>
      <c r="LZ8">
        <f>-393.9056--392.9901</f>
        <v>-0.91550000000000864</v>
      </c>
      <c r="MA8">
        <f>-397.5677--396.6522</f>
        <v>-0.91550000000000864</v>
      </c>
      <c r="MB8">
        <f>-393.4479--392.9901</f>
        <v>-0.45780000000002019</v>
      </c>
      <c r="MC8">
        <f>-399.3988--398.941</f>
        <v>-0.45780000000002019</v>
      </c>
      <c r="MD8">
        <f>-396.4233--395.5078</f>
        <v>-0.91550000000000864</v>
      </c>
      <c r="MF8">
        <f>-401.2299--401.001</f>
        <v>-0.2289000000000101</v>
      </c>
      <c r="MG8">
        <f>-406.0364--405.8075</f>
        <v>-0.2289000000000101</v>
      </c>
      <c r="MH8">
        <f>-407.8674--407.4097</f>
        <v>-0.45769999999998845</v>
      </c>
      <c r="MI8">
        <f>-399.8566--399.6277</f>
        <v>-0.2289000000000101</v>
      </c>
      <c r="MJ8">
        <f>-399.8566--400.5432</f>
        <v>0.68659999999999854</v>
      </c>
      <c r="MK8">
        <f>-400.0854--401.4587</f>
        <v>1.3733000000000288</v>
      </c>
      <c r="ML8">
        <f>-354.0802--353.6224</f>
        <v>-0.45779999999996335</v>
      </c>
      <c r="MM8">
        <f>-319.2902--319.0613</f>
        <v>-0.2289000000000101</v>
      </c>
      <c r="MN8">
        <f>-481.5674--482.9407</f>
        <v>1.373299999999972</v>
      </c>
      <c r="MO8">
        <f>-491.1804--490.4938</f>
        <v>-0.68659999999999854</v>
      </c>
      <c r="MP8">
        <f>-396.4233--396.1945</f>
        <v>-0.22879999999997835</v>
      </c>
      <c r="MQ8">
        <f>-487.2894--487.7472</f>
        <v>0.45780000000002019</v>
      </c>
      <c r="MS8">
        <f>-490.7227--491.4093</f>
        <v>0.68659999999999854</v>
      </c>
      <c r="MT8">
        <f>-401.2299--400.0854</f>
        <v>-1.1444999999999936</v>
      </c>
      <c r="MU8">
        <f>-399.8566--401.2299</f>
        <v>1.373299999999972</v>
      </c>
      <c r="MV8">
        <f>-401.4587--401.2299</f>
        <v>-0.2288000000000352</v>
      </c>
      <c r="MW8">
        <f>-405.3497--404.6631</f>
        <v>-0.68659999999999854</v>
      </c>
      <c r="MX8">
        <f>-491.6382--491.1804</f>
        <v>-0.45779999999996335</v>
      </c>
      <c r="MY8">
        <f>-491.8671--492.3248</f>
        <v>0.45769999999998845</v>
      </c>
      <c r="MZ8">
        <f>-488.4338--487.7472</f>
        <v>-0.68659999999999854</v>
      </c>
      <c r="NA8">
        <f>-470.3522--471.2677</f>
        <v>0.91550000000000864</v>
      </c>
      <c r="NB8">
        <f>-390.4724--390.0146</f>
        <v>-0.45780000000002019</v>
      </c>
      <c r="NC8">
        <f>-393.219--393.6768</f>
        <v>0.45780000000002019</v>
      </c>
      <c r="ND8">
        <f>-391.3879--391.1591</f>
        <v>-0.22879999999997835</v>
      </c>
      <c r="NE8">
        <f>-392.7612--393.219</f>
        <v>0.45780000000002019</v>
      </c>
      <c r="NF8">
        <f>-394.5923--394.3634</f>
        <v>-0.2289000000000101</v>
      </c>
      <c r="NG8">
        <f>-393.4479--392.3035</f>
        <v>-1.1444000000000187</v>
      </c>
      <c r="NH8">
        <f>-399.6277--399.8566</f>
        <v>0.2289000000000101</v>
      </c>
      <c r="NI8">
        <f>-392.7612--393.4479</f>
        <v>0.68670000000003029</v>
      </c>
      <c r="NJ8">
        <f>-396.8811--397.11</f>
        <v>0.2289000000000101</v>
      </c>
      <c r="NL8">
        <f>-396.6522--396.8811</f>
        <v>0.2289000000000101</v>
      </c>
      <c r="NM8">
        <f>-398.0255--398.7122</f>
        <v>0.68669999999997344</v>
      </c>
      <c r="NN8">
        <f>-392.7612--392.5323</f>
        <v>-0.22889999999995325</v>
      </c>
      <c r="NO8">
        <f>-397.5677--397.7966</f>
        <v>0.2289000000000101</v>
      </c>
      <c r="NQ8">
        <f>-396.8811--396.6522</f>
        <v>-0.2289000000000101</v>
      </c>
      <c r="NR8">
        <f>-397.3389--398.0255</f>
        <v>0.68659999999999854</v>
      </c>
      <c r="NS8">
        <f>-397.3389--397.11</f>
        <v>-0.2289000000000101</v>
      </c>
      <c r="NT8">
        <f>-398.941--397.7966</f>
        <v>-1.1443999999999619</v>
      </c>
      <c r="NV8">
        <f>-397.3389--398.4833</f>
        <v>1.1443999999999619</v>
      </c>
      <c r="NY8">
        <f>-396.6522--396.8811</f>
        <v>0.2289000000000101</v>
      </c>
      <c r="NZ8">
        <f>-395.5078--397.11</f>
        <v>1.6022000000000389</v>
      </c>
      <c r="OA8">
        <f>-397.11--397.5677</f>
        <v>0.45769999999998845</v>
      </c>
      <c r="OC8">
        <f>-397.3389--396.8811</f>
        <v>-0.45780000000002019</v>
      </c>
      <c r="OD8">
        <f>-375.1373--374.9084</f>
        <v>-0.2289000000000101</v>
      </c>
      <c r="OE8">
        <f>-373.5352--374.2218</f>
        <v>0.68659999999999854</v>
      </c>
      <c r="OF8">
        <f>-374.2218--373.9929</f>
        <v>-0.22889999999995325</v>
      </c>
      <c r="OG8">
        <f>-397.5677--397.3389</f>
        <v>-0.22879999999997835</v>
      </c>
      <c r="OH8">
        <f>-396.1945--397.3389</f>
        <v>1.1444000000000187</v>
      </c>
      <c r="OI8">
        <f>-397.11--396.8811</f>
        <v>-0.2289000000000101</v>
      </c>
      <c r="OJ8">
        <f>-396.6522--398.941</f>
        <v>2.2887999999999806</v>
      </c>
      <c r="OK8">
        <f>-395.5078--395.05</f>
        <v>-0.45779999999996335</v>
      </c>
      <c r="OL8">
        <f>-395.05--395.9656</f>
        <v>0.91559999999998354</v>
      </c>
      <c r="OM8">
        <f>-395.7367--395.2789</f>
        <v>-0.45779999999996335</v>
      </c>
      <c r="ON8">
        <f>-398.7122--399.6277</f>
        <v>0.91550000000000864</v>
      </c>
      <c r="OP8">
        <f>-399.8566--400.7721</f>
        <v>0.91550000000000864</v>
      </c>
      <c r="QE8">
        <v>-1</v>
      </c>
      <c r="QF8">
        <v>-1</v>
      </c>
      <c r="QG8">
        <v>-1</v>
      </c>
      <c r="QH8">
        <v>-1</v>
      </c>
      <c r="QI8">
        <v>-1</v>
      </c>
      <c r="QJ8">
        <v>-1</v>
      </c>
      <c r="QK8">
        <v>-1</v>
      </c>
      <c r="QL8">
        <v>-1</v>
      </c>
    </row>
    <row r="9" spans="1:454" x14ac:dyDescent="0.25">
      <c r="A9" t="s">
        <v>1628</v>
      </c>
      <c r="B9" t="s">
        <v>869</v>
      </c>
      <c r="C9" t="s">
        <v>1629</v>
      </c>
      <c r="D9" t="s">
        <v>1454</v>
      </c>
      <c r="E9" t="s">
        <v>878</v>
      </c>
      <c r="F9" t="s">
        <v>1355</v>
      </c>
      <c r="G9" t="s">
        <v>1458</v>
      </c>
      <c r="H9" t="s">
        <v>1313</v>
      </c>
      <c r="I9" t="s">
        <v>1630</v>
      </c>
      <c r="J9" t="s">
        <v>1191</v>
      </c>
      <c r="L9" t="s">
        <v>1108</v>
      </c>
      <c r="M9" t="s">
        <v>1201</v>
      </c>
      <c r="N9" t="s">
        <v>875</v>
      </c>
      <c r="O9" t="s">
        <v>1272</v>
      </c>
      <c r="P9" t="s">
        <v>1631</v>
      </c>
      <c r="Q9" t="s">
        <v>966</v>
      </c>
      <c r="R9" t="s">
        <v>1439</v>
      </c>
      <c r="S9" t="s">
        <v>1090</v>
      </c>
      <c r="T9" t="s">
        <v>931</v>
      </c>
      <c r="U9" t="s">
        <v>1101</v>
      </c>
      <c r="V9" t="s">
        <v>1620</v>
      </c>
      <c r="W9" t="s">
        <v>1091</v>
      </c>
      <c r="X9" t="s">
        <v>1632</v>
      </c>
      <c r="Y9" t="s">
        <v>1633</v>
      </c>
      <c r="Z9" t="s">
        <v>1634</v>
      </c>
      <c r="AA9" t="s">
        <v>1635</v>
      </c>
      <c r="AB9" t="s">
        <v>1598</v>
      </c>
      <c r="AC9" t="s">
        <v>1636</v>
      </c>
      <c r="AD9" t="s">
        <v>1637</v>
      </c>
      <c r="AE9" t="s">
        <v>1631</v>
      </c>
      <c r="AF9" t="s">
        <v>946</v>
      </c>
      <c r="AG9" t="s">
        <v>1213</v>
      </c>
      <c r="AI9" t="s">
        <v>1638</v>
      </c>
      <c r="AJ9" t="s">
        <v>1088</v>
      </c>
      <c r="AK9" t="s">
        <v>1445</v>
      </c>
      <c r="AL9" t="s">
        <v>1439</v>
      </c>
      <c r="AN9" t="s">
        <v>1171</v>
      </c>
      <c r="AO9" t="s">
        <v>1098</v>
      </c>
      <c r="AP9" t="s">
        <v>1226</v>
      </c>
      <c r="AQ9" t="s">
        <v>1639</v>
      </c>
      <c r="AR9" t="s">
        <v>1640</v>
      </c>
      <c r="AS9" t="s">
        <v>1641</v>
      </c>
      <c r="AT9" t="s">
        <v>1642</v>
      </c>
      <c r="AU9" t="s">
        <v>1140</v>
      </c>
      <c r="AV9" t="s">
        <v>1643</v>
      </c>
      <c r="AW9" t="s">
        <v>1644</v>
      </c>
      <c r="AX9" t="s">
        <v>1181</v>
      </c>
      <c r="AY9" t="s">
        <v>1303</v>
      </c>
      <c r="AZ9" t="s">
        <v>1457</v>
      </c>
      <c r="BA9" t="s">
        <v>1645</v>
      </c>
      <c r="BB9" t="s">
        <v>971</v>
      </c>
      <c r="BD9" t="s">
        <v>952</v>
      </c>
      <c r="BE9" t="s">
        <v>1646</v>
      </c>
      <c r="BF9" t="s">
        <v>1647</v>
      </c>
      <c r="BG9" t="s">
        <v>1648</v>
      </c>
      <c r="BI9" t="s">
        <v>1569</v>
      </c>
      <c r="BK9" t="s">
        <v>1402</v>
      </c>
      <c r="BL9" t="s">
        <v>1625</v>
      </c>
      <c r="BO9" t="s">
        <v>1119</v>
      </c>
      <c r="BP9" t="s">
        <v>1273</v>
      </c>
      <c r="BQ9" t="s">
        <v>1242</v>
      </c>
      <c r="BR9" t="s">
        <v>1400</v>
      </c>
      <c r="BS9" t="s">
        <v>1649</v>
      </c>
      <c r="BT9" t="s">
        <v>1546</v>
      </c>
      <c r="BU9" t="s">
        <v>1650</v>
      </c>
      <c r="BV9" t="s">
        <v>1651</v>
      </c>
      <c r="BW9" t="s">
        <v>1350</v>
      </c>
      <c r="BX9" t="s">
        <v>1216</v>
      </c>
      <c r="BY9" t="s">
        <v>1652</v>
      </c>
      <c r="BZ9" t="s">
        <v>1653</v>
      </c>
      <c r="CB9" t="s">
        <v>1654</v>
      </c>
      <c r="CC9" t="s">
        <v>1182</v>
      </c>
      <c r="CF9" t="s">
        <v>1655</v>
      </c>
      <c r="CG9" t="s">
        <v>1656</v>
      </c>
      <c r="CH9" t="s">
        <v>1272</v>
      </c>
      <c r="CI9" t="s">
        <v>1544</v>
      </c>
      <c r="CJ9" t="s">
        <v>1345</v>
      </c>
      <c r="CK9" t="s">
        <v>896</v>
      </c>
      <c r="CL9" t="s">
        <v>1004</v>
      </c>
      <c r="CM9" t="s">
        <v>1402</v>
      </c>
      <c r="CN9" t="s">
        <v>1108</v>
      </c>
      <c r="CO9" t="s">
        <v>1566</v>
      </c>
      <c r="CP9" t="s">
        <v>876</v>
      </c>
      <c r="CQ9" t="s">
        <v>1089</v>
      </c>
      <c r="CR9" t="s">
        <v>1657</v>
      </c>
      <c r="CS9" t="s">
        <v>1601</v>
      </c>
      <c r="CT9" t="s">
        <v>988</v>
      </c>
      <c r="CV9" t="s">
        <v>1544</v>
      </c>
      <c r="CW9" t="s">
        <v>1658</v>
      </c>
      <c r="CY9" t="s">
        <v>1490</v>
      </c>
      <c r="DA9" t="s">
        <v>1458</v>
      </c>
      <c r="DB9" t="s">
        <v>1458</v>
      </c>
      <c r="DD9" t="s">
        <v>1088</v>
      </c>
      <c r="DE9" t="s">
        <v>949</v>
      </c>
      <c r="DF9" t="s">
        <v>1659</v>
      </c>
      <c r="DG9" t="s">
        <v>947</v>
      </c>
      <c r="DH9" t="s">
        <v>1439</v>
      </c>
      <c r="DI9" t="s">
        <v>1660</v>
      </c>
      <c r="DJ9" t="s">
        <v>1248</v>
      </c>
      <c r="DK9" t="s">
        <v>1661</v>
      </c>
      <c r="DL9" t="s">
        <v>1461</v>
      </c>
      <c r="DM9" t="s">
        <v>1414</v>
      </c>
      <c r="DO9" t="s">
        <v>1280</v>
      </c>
      <c r="DP9" t="s">
        <v>1660</v>
      </c>
      <c r="DQ9" t="s">
        <v>1662</v>
      </c>
      <c r="DS9" t="s">
        <v>1663</v>
      </c>
      <c r="DT9" t="s">
        <v>1664</v>
      </c>
      <c r="DU9" t="s">
        <v>1038</v>
      </c>
      <c r="DW9" t="s">
        <v>1611</v>
      </c>
      <c r="DY9" t="s">
        <v>1665</v>
      </c>
      <c r="DZ9" t="s">
        <v>1666</v>
      </c>
      <c r="EC9" t="s">
        <v>1281</v>
      </c>
      <c r="ED9" t="s">
        <v>1662</v>
      </c>
      <c r="EF9" t="s">
        <v>1208</v>
      </c>
      <c r="EG9" t="s">
        <v>939</v>
      </c>
      <c r="EH9" t="s">
        <v>1439</v>
      </c>
      <c r="EJ9" t="s">
        <v>1667</v>
      </c>
      <c r="EK9" t="s">
        <v>1546</v>
      </c>
      <c r="EL9" t="s">
        <v>878</v>
      </c>
      <c r="EM9" t="s">
        <v>1057</v>
      </c>
      <c r="EP9" t="s">
        <v>1220</v>
      </c>
      <c r="EQ9" t="s">
        <v>1121</v>
      </c>
      <c r="ER9" t="s">
        <v>1668</v>
      </c>
      <c r="ES9" t="s">
        <v>1669</v>
      </c>
      <c r="ET9" t="s">
        <v>1670</v>
      </c>
      <c r="EU9" t="s">
        <v>1671</v>
      </c>
      <c r="EV9" t="s">
        <v>1103</v>
      </c>
      <c r="EW9" t="s">
        <v>1672</v>
      </c>
      <c r="EX9" t="s">
        <v>1673</v>
      </c>
      <c r="EY9" t="s">
        <v>1674</v>
      </c>
      <c r="FA9" t="s">
        <v>1232</v>
      </c>
      <c r="FB9" t="s">
        <v>1199</v>
      </c>
      <c r="FC9" t="s">
        <v>941</v>
      </c>
      <c r="FD9" t="s">
        <v>1675</v>
      </c>
      <c r="FE9" t="s">
        <v>1676</v>
      </c>
      <c r="FF9" t="s">
        <v>1677</v>
      </c>
      <c r="FG9" t="s">
        <v>1678</v>
      </c>
      <c r="FH9" t="s">
        <v>1316</v>
      </c>
      <c r="FI9" t="s">
        <v>976</v>
      </c>
      <c r="FJ9" t="s">
        <v>883</v>
      </c>
      <c r="FK9" t="s">
        <v>1555</v>
      </c>
      <c r="FL9" t="s">
        <v>880</v>
      </c>
      <c r="FN9" t="s">
        <v>1223</v>
      </c>
      <c r="FQ9" t="s">
        <v>1416</v>
      </c>
      <c r="FS9" t="s">
        <v>1651</v>
      </c>
      <c r="FT9" t="s">
        <v>1651</v>
      </c>
      <c r="FU9" t="s">
        <v>1679</v>
      </c>
      <c r="FV9" t="s">
        <v>1216</v>
      </c>
      <c r="FW9" t="s">
        <v>1680</v>
      </c>
      <c r="FX9" t="s">
        <v>1681</v>
      </c>
      <c r="FZ9" t="s">
        <v>1682</v>
      </c>
      <c r="GA9" t="s">
        <v>1683</v>
      </c>
      <c r="GB9" t="s">
        <v>1041</v>
      </c>
      <c r="GC9" t="s">
        <v>1684</v>
      </c>
      <c r="GD9" t="s">
        <v>1685</v>
      </c>
      <c r="GE9" t="s">
        <v>1686</v>
      </c>
      <c r="GF9" t="s">
        <v>1098</v>
      </c>
      <c r="GH9" t="s">
        <v>1219</v>
      </c>
      <c r="GJ9" t="s">
        <v>1687</v>
      </c>
      <c r="GK9" t="s">
        <v>1231</v>
      </c>
      <c r="GL9" t="s">
        <v>1688</v>
      </c>
      <c r="GM9" t="s">
        <v>1464</v>
      </c>
      <c r="GN9" t="s">
        <v>1518</v>
      </c>
      <c r="GO9" t="s">
        <v>1689</v>
      </c>
      <c r="GP9" t="s">
        <v>1600</v>
      </c>
      <c r="GQ9" t="s">
        <v>1119</v>
      </c>
      <c r="GR9" t="s">
        <v>1271</v>
      </c>
      <c r="GS9" t="s">
        <v>1690</v>
      </c>
      <c r="GU9" t="s">
        <v>1691</v>
      </c>
      <c r="GV9" t="s">
        <v>876</v>
      </c>
      <c r="GW9">
        <f>-398.941--398.0255</f>
        <v>-0.9154999999999518</v>
      </c>
      <c r="GX9">
        <f>-398.0255--397.7966</f>
        <v>-0.2289000000000101</v>
      </c>
      <c r="GY9">
        <f>-398.4833--398.2544</f>
        <v>-0.2289000000000101</v>
      </c>
      <c r="GZ9">
        <f>-398.0255--397.7966</f>
        <v>-0.2289000000000101</v>
      </c>
      <c r="HA9">
        <f>-398.7122--397.3389</f>
        <v>-1.373299999999972</v>
      </c>
      <c r="HB9">
        <f>-399.6277--400.3143</f>
        <v>0.68659999999999854</v>
      </c>
      <c r="HC9">
        <f>-402.1454--401.4587</f>
        <v>-0.68669999999997344</v>
      </c>
      <c r="HD9">
        <f>-400.5432--400.0854</f>
        <v>-0.45780000000002019</v>
      </c>
      <c r="HE9">
        <f>-399.8566--399.3988</f>
        <v>-0.45780000000002019</v>
      </c>
      <c r="HF9">
        <f>-399.6277--399.8566</f>
        <v>0.2289000000000101</v>
      </c>
      <c r="HG9">
        <f>-398.941--399.1699</f>
        <v>0.2289000000000101</v>
      </c>
      <c r="HH9">
        <f>-399.1699--398.0255</f>
        <v>-1.1443999999999619</v>
      </c>
      <c r="HI9">
        <f>-400.0854--399.3988</f>
        <v>-0.68659999999999854</v>
      </c>
      <c r="HJ9">
        <f>-400.7721--400.0854</f>
        <v>-0.68670000000003029</v>
      </c>
      <c r="HK9">
        <f>-377.1973--377.655</f>
        <v>0.45769999999998845</v>
      </c>
      <c r="HL9">
        <f>-375.5951--376.0529</f>
        <v>0.45780000000002019</v>
      </c>
      <c r="HM9">
        <f>-397.3389--397.5677</f>
        <v>0.22879999999997835</v>
      </c>
      <c r="HN9">
        <f>-399.1699--398.7122</f>
        <v>-0.45769999999998845</v>
      </c>
      <c r="HP9">
        <f>-398.941--398.4833</f>
        <v>-0.45769999999998845</v>
      </c>
      <c r="HR9">
        <f>-442.8864--441.9708</f>
        <v>-0.91559999999998354</v>
      </c>
      <c r="HS9">
        <f>-483.3984--482.4829</f>
        <v>-0.91550000000000864</v>
      </c>
      <c r="HT9">
        <f>-485.0006--485.2295</f>
        <v>0.22889999999995325</v>
      </c>
      <c r="HU9">
        <f>-489.3494--488.6627</f>
        <v>-0.68670000000003029</v>
      </c>
      <c r="HV9">
        <f>-400.0854--398.7122</f>
        <v>-1.3731999999999971</v>
      </c>
      <c r="HW9">
        <f>-398.4833--397.5677</f>
        <v>-0.91559999999998354</v>
      </c>
      <c r="HX9">
        <f>-397.7966--396.6522</f>
        <v>-1.1444000000000187</v>
      </c>
      <c r="IA9">
        <f>-397.3389--397.7966</f>
        <v>0.45769999999998845</v>
      </c>
      <c r="IB9">
        <f>-394.8212--394.3634</f>
        <v>-0.45779999999996335</v>
      </c>
      <c r="ID9">
        <f>-399.1699--398.941</f>
        <v>-0.2289000000000101</v>
      </c>
      <c r="IE9">
        <f>-400.3143--400.0854</f>
        <v>-0.2289000000000101</v>
      </c>
      <c r="IF9">
        <f>-401.4587--401.001</f>
        <v>-0.45770000000004529</v>
      </c>
      <c r="IG9">
        <f>-399.6277--399.3988</f>
        <v>-0.2289000000000101</v>
      </c>
      <c r="IH9">
        <f>-398.4833--398.7122</f>
        <v>0.2289000000000101</v>
      </c>
      <c r="II9">
        <f>-400.0854--399.8566</f>
        <v>-0.22879999999997835</v>
      </c>
      <c r="IJ9">
        <f>-400.7721--401.2299</f>
        <v>0.45779999999996335</v>
      </c>
      <c r="IK9">
        <f>-400.5432--400.3143</f>
        <v>-0.2289000000000101</v>
      </c>
      <c r="IL9">
        <f>-359.8022--359.1156</f>
        <v>-0.68660000000005539</v>
      </c>
      <c r="IM9">
        <f>-325.0122--324.7833</f>
        <v>-0.2289000000000101</v>
      </c>
      <c r="IN9">
        <f>-404.2053--403.9764</f>
        <v>-0.2289000000000101</v>
      </c>
      <c r="IO9">
        <f>-486.3739--486.145</f>
        <v>-0.2289000000000101</v>
      </c>
      <c r="IP9">
        <f>-494.6136--493.927</f>
        <v>-0.68659999999999854</v>
      </c>
      <c r="IQ9">
        <f>-403.9764--403.5187</f>
        <v>-0.45769999999998845</v>
      </c>
      <c r="IR9">
        <f>-401.001--400.0854</f>
        <v>-0.91559999999998354</v>
      </c>
      <c r="IS9">
        <f>-400.0854--399.6277</f>
        <v>-0.45769999999998845</v>
      </c>
      <c r="IV9">
        <f>-406.0364--405.5786</f>
        <v>-0.45780000000002019</v>
      </c>
      <c r="IW9">
        <f>-402.1454--401.9165</f>
        <v>-0.2289000000000101</v>
      </c>
      <c r="IX9">
        <f>-400.7721--400.5432</f>
        <v>-0.2289000000000101</v>
      </c>
      <c r="IY9">
        <f>-494.6136--494.3848</f>
        <v>-0.2288000000000352</v>
      </c>
      <c r="IZ9">
        <f>-490.9515--490.4938</f>
        <v>-0.45769999999998845</v>
      </c>
      <c r="JB9">
        <f>-486.8317--485.9161</f>
        <v>-0.91560000000004038</v>
      </c>
      <c r="JC9">
        <f>-398.2544--397.5677</f>
        <v>-0.68669999999997344</v>
      </c>
      <c r="JD9">
        <f>-388.4125--388.1836</f>
        <v>-0.2289000000000101</v>
      </c>
      <c r="JF9">
        <f>-391.1591--390.4724</f>
        <v>-0.68670000000003029</v>
      </c>
      <c r="JG9">
        <f>-391.1591--391.3879</f>
        <v>0.22879999999997835</v>
      </c>
      <c r="JI9">
        <f>-392.3035--392.7612</f>
        <v>0.45769999999998845</v>
      </c>
      <c r="JJ9">
        <f>-396.8811--397.11</f>
        <v>0.2289000000000101</v>
      </c>
      <c r="JK9">
        <f>-396.8811--396.1945</f>
        <v>-0.68659999999999854</v>
      </c>
      <c r="JL9">
        <f>-394.3634--393.6768</f>
        <v>-0.68659999999999854</v>
      </c>
      <c r="JM9">
        <f>-397.5677--397.3389</f>
        <v>-0.22879999999997835</v>
      </c>
      <c r="JN9">
        <f>-397.11--396.8811</f>
        <v>-0.2289000000000101</v>
      </c>
      <c r="JO9">
        <f>-397.7966--396.4233</f>
        <v>-1.3733000000000288</v>
      </c>
      <c r="JP9">
        <f>-397.3389--396.1945</f>
        <v>-1.1444000000000187</v>
      </c>
      <c r="JQ9">
        <f>-398.7122--398.4833</f>
        <v>-0.2289000000000101</v>
      </c>
      <c r="JR9">
        <f>-397.3389--397.5677</f>
        <v>0.22879999999997835</v>
      </c>
      <c r="JS9">
        <f>-399.3988--399.1699</f>
        <v>-0.2289000000000101</v>
      </c>
      <c r="JT9">
        <f>-398.941--398.4833</f>
        <v>-0.45769999999998845</v>
      </c>
      <c r="JU9">
        <f>-397.5677--397.11</f>
        <v>-0.45769999999998845</v>
      </c>
      <c r="JW9">
        <f>-399.8566--400.0854</f>
        <v>0.22879999999997835</v>
      </c>
      <c r="JY9">
        <f>-447.0062--446.7773</f>
        <v>-0.22889999999995325</v>
      </c>
      <c r="JZ9">
        <f>-398.941--399.3988</f>
        <v>0.45780000000002019</v>
      </c>
      <c r="KA9">
        <f>-405.1208--409.9274</f>
        <v>4.8066000000000031</v>
      </c>
      <c r="KC9">
        <f>-399.1699--399.6277</f>
        <v>0.45780000000002019</v>
      </c>
      <c r="KD9">
        <f>-398.941--398.7122</f>
        <v>-0.22879999999997835</v>
      </c>
      <c r="KE9">
        <f>-375.3662--375.1373</f>
        <v>-0.2289000000000101</v>
      </c>
      <c r="KF9">
        <f>-396.8811--397.11</f>
        <v>0.2289000000000101</v>
      </c>
      <c r="KG9">
        <f>-374.6796--375.1373</f>
        <v>0.45769999999998845</v>
      </c>
      <c r="KI9">
        <f>-375.5951--375.3662</f>
        <v>-0.2289000000000101</v>
      </c>
      <c r="KK9">
        <f>-396.8811--396.1945</f>
        <v>-0.68659999999999854</v>
      </c>
      <c r="KL9">
        <f>-398.2544--397.7966</f>
        <v>-0.45779999999996335</v>
      </c>
      <c r="KN9">
        <f>-396.4233--395.2789</f>
        <v>-1.1443999999999619</v>
      </c>
      <c r="KO9">
        <f>-398.0255--397.11</f>
        <v>-0.91550000000000864</v>
      </c>
      <c r="KQ9">
        <f>-409.0118--408.0963</f>
        <v>-0.91550000000000864</v>
      </c>
      <c r="KR9">
        <f>-397.11--396.8811</f>
        <v>-0.2289000000000101</v>
      </c>
      <c r="KS9">
        <f>-400.5432--399.8566</f>
        <v>-0.68659999999999854</v>
      </c>
      <c r="KT9">
        <f>-399.8566--398.4833</f>
        <v>-1.3733000000000288</v>
      </c>
      <c r="KU9">
        <f>-400.3143--399.8566</f>
        <v>-0.45769999999998845</v>
      </c>
      <c r="KV9">
        <f>-401.2299--399.6277</f>
        <v>-1.6021999999999821</v>
      </c>
      <c r="KX9">
        <f>-399.8566--400.5432</f>
        <v>0.68659999999999854</v>
      </c>
      <c r="KZ9">
        <f>-398.2544--398.941</f>
        <v>0.68659999999999854</v>
      </c>
      <c r="LA9">
        <f>-399.8566--398.7122</f>
        <v>-1.1444000000000187</v>
      </c>
      <c r="LC9">
        <f>-401.4587--400.0854</f>
        <v>-1.3733000000000288</v>
      </c>
      <c r="LD9">
        <f>-401.2299--400.7721</f>
        <v>-0.45779999999996335</v>
      </c>
      <c r="LE9">
        <f>-376.7395--375.824</f>
        <v>-0.91550000000000864</v>
      </c>
      <c r="LG9">
        <f>-399.3988--398.4833</f>
        <v>-0.91550000000000864</v>
      </c>
      <c r="LI9">
        <f>-400.0854--398.941</f>
        <v>-1.1444000000000187</v>
      </c>
      <c r="LJ9">
        <f>-399.1699--398.941</f>
        <v>-0.2289000000000101</v>
      </c>
      <c r="LK9">
        <f>-398.7122--398.941</f>
        <v>0.22879999999997835</v>
      </c>
      <c r="LL9">
        <f>-398.4833--397.5677</f>
        <v>-0.91559999999998354</v>
      </c>
      <c r="LM9">
        <f>-408.0963--407.4097</f>
        <v>-0.68659999999999854</v>
      </c>
      <c r="LN9">
        <f>-398.941--399.1699</f>
        <v>0.2289000000000101</v>
      </c>
      <c r="LP9">
        <f>-482.4829--482.9407</f>
        <v>0.45780000000002019</v>
      </c>
      <c r="LQ9">
        <f>-484.7717--486.145</f>
        <v>1.373299999999972</v>
      </c>
      <c r="LR9">
        <f>-398.7122--396.8811</f>
        <v>-1.8310999999999922</v>
      </c>
      <c r="LS9">
        <f>-398.2544--397.5677</f>
        <v>-0.68669999999997344</v>
      </c>
      <c r="LT9">
        <f>-398.4833--398.7122</f>
        <v>0.2289000000000101</v>
      </c>
      <c r="LV9">
        <f>-394.1345--393.6768</f>
        <v>-0.45769999999998845</v>
      </c>
      <c r="LW9">
        <f>-395.2789--395.7367</f>
        <v>0.45779999999996335</v>
      </c>
      <c r="LY9">
        <f>-395.05--394.8212</f>
        <v>-0.2288000000000352</v>
      </c>
      <c r="LZ9">
        <f>-395.5078--395.05</f>
        <v>-0.45779999999996335</v>
      </c>
      <c r="MA9">
        <f>-400.5432--399.3988</f>
        <v>-1.1444000000000187</v>
      </c>
      <c r="MB9">
        <f>-395.7367--395.2789</f>
        <v>-0.45779999999996335</v>
      </c>
      <c r="MC9">
        <f>-398.4833--398.2544</f>
        <v>-0.2289000000000101</v>
      </c>
      <c r="MD9">
        <f>-400.7721--399.8566</f>
        <v>-0.91550000000000864</v>
      </c>
      <c r="ME9">
        <f>-398.2544--398.0255</f>
        <v>-0.22889999999995325</v>
      </c>
      <c r="MF9">
        <f>-402.3743--401.9165</f>
        <v>-0.45780000000002019</v>
      </c>
      <c r="MG9">
        <f>-400.3143--399.8566</f>
        <v>-0.45769999999998845</v>
      </c>
      <c r="MH9">
        <f>-404.4342--405.1208</f>
        <v>0.68659999999999854</v>
      </c>
      <c r="MI9">
        <f>-401.4587--401.001</f>
        <v>-0.45770000000004529</v>
      </c>
      <c r="MJ9">
        <f>-401.2299--401.001</f>
        <v>-0.2289000000000101</v>
      </c>
      <c r="MK9">
        <f>-402.1454--402.832</f>
        <v>0.68659999999999854</v>
      </c>
      <c r="ML9">
        <f>-355.2246--354.9957</f>
        <v>-0.2289000000000101</v>
      </c>
      <c r="MM9">
        <f>-320.8923--320.2057</f>
        <v>-0.68659999999999854</v>
      </c>
      <c r="MN9">
        <f>-483.6273--483.1696</f>
        <v>-0.45769999999998845</v>
      </c>
      <c r="MO9">
        <f>-494.3848--494.1559</f>
        <v>-0.2289000000000101</v>
      </c>
      <c r="MP9">
        <f>-397.7966--397.11</f>
        <v>-0.68659999999999854</v>
      </c>
      <c r="MQ9">
        <f>-486.145--486.3739</f>
        <v>0.2289000000000101</v>
      </c>
      <c r="MS9">
        <f>-492.7826--492.0959</f>
        <v>-0.68670000000003029</v>
      </c>
      <c r="MT9">
        <f>-413.3606--412.9028</f>
        <v>-0.45779999999996335</v>
      </c>
      <c r="MU9">
        <f>-409.0118--409.2407</f>
        <v>0.2289000000000101</v>
      </c>
      <c r="MV9">
        <f>-401.6876--401.9165</f>
        <v>0.2289000000000101</v>
      </c>
      <c r="MX9">
        <f>-492.3248--491.4093</f>
        <v>-0.91550000000000864</v>
      </c>
      <c r="MY9">
        <f>-491.4093--490.9515</f>
        <v>-0.45779999999996335</v>
      </c>
      <c r="MZ9">
        <f>-490.036--488.4338</f>
        <v>-1.6021999999999821</v>
      </c>
      <c r="NB9">
        <f>-390.0146--389.328</f>
        <v>-0.68659999999999854</v>
      </c>
      <c r="NC9">
        <f>-392.7612--393.219</f>
        <v>0.45780000000002019</v>
      </c>
      <c r="ND9">
        <f>-392.5323--392.3035</f>
        <v>-0.2288000000000352</v>
      </c>
      <c r="NF9">
        <f>-393.4479--392.7612</f>
        <v>-0.68670000000003029</v>
      </c>
      <c r="NG9">
        <f>-393.6768--392.9901</f>
        <v>-0.68670000000003029</v>
      </c>
      <c r="NH9">
        <f>-396.6522--397.11</f>
        <v>0.45780000000002019</v>
      </c>
      <c r="NI9">
        <f>-394.3634--393.9056</f>
        <v>-0.45780000000002019</v>
      </c>
      <c r="NJ9">
        <f>-399.1699--397.5677</f>
        <v>-1.6021999999999821</v>
      </c>
      <c r="NK9">
        <f>-392.5323--391.6168</f>
        <v>-0.91550000000000864</v>
      </c>
      <c r="NL9">
        <f>-392.7612--393.219</f>
        <v>0.45780000000002019</v>
      </c>
      <c r="NQ9">
        <f>-398.941--398.7122</f>
        <v>-0.22879999999997835</v>
      </c>
      <c r="NR9">
        <f>-398.4833--398.941</f>
        <v>0.45769999999998845</v>
      </c>
      <c r="NS9">
        <f>-400.5432--400.0854</f>
        <v>-0.45780000000002019</v>
      </c>
      <c r="NT9">
        <f>-401.6876--400.5432</f>
        <v>-1.1443999999999619</v>
      </c>
      <c r="NU9">
        <f>-400.0854--399.3988</f>
        <v>-0.68659999999999854</v>
      </c>
      <c r="NW9">
        <f>-411.3007--411.7584</f>
        <v>0.45769999999998845</v>
      </c>
      <c r="NZ9">
        <f>-396.4233--396.6522</f>
        <v>0.2289000000000101</v>
      </c>
      <c r="OA9">
        <f>-397.11--396.8811</f>
        <v>-0.2289000000000101</v>
      </c>
      <c r="OB9">
        <f>-375.5951--374.9084</f>
        <v>-0.68670000000003029</v>
      </c>
      <c r="OC9">
        <f>-395.9656--396.1945</f>
        <v>0.2289000000000101</v>
      </c>
      <c r="OD9">
        <f>-375.5951--375.3662</f>
        <v>-0.2289000000000101</v>
      </c>
      <c r="OE9">
        <f>-374.2218--374.4507</f>
        <v>0.2289000000000101</v>
      </c>
      <c r="OF9">
        <f>-375.5951--375.3662</f>
        <v>-0.2289000000000101</v>
      </c>
      <c r="OH9">
        <f>-398.7122--398.941</f>
        <v>0.22879999999997835</v>
      </c>
      <c r="OI9">
        <f>-397.7966--397.11</f>
        <v>-0.68659999999999854</v>
      </c>
      <c r="OJ9">
        <f>-398.0255--398.2544</f>
        <v>0.22889999999995325</v>
      </c>
      <c r="OK9">
        <f>-397.5677--397.3389</f>
        <v>-0.22879999999997835</v>
      </c>
      <c r="OL9">
        <f>-395.9656--396.4233</f>
        <v>0.45769999999998845</v>
      </c>
      <c r="OM9">
        <f>-397.7966--396.6522</f>
        <v>-1.1444000000000187</v>
      </c>
      <c r="ON9">
        <f>-397.7966--398.4833</f>
        <v>0.68669999999997344</v>
      </c>
      <c r="OO9">
        <f>-396.6522--396.1945</f>
        <v>-0.45769999999998845</v>
      </c>
      <c r="OP9">
        <f>-402.1454--401.9165</f>
        <v>-0.2289000000000101</v>
      </c>
      <c r="QE9">
        <v>-1</v>
      </c>
      <c r="QF9">
        <v>-1</v>
      </c>
      <c r="QG9">
        <v>-1</v>
      </c>
      <c r="QH9">
        <v>-1</v>
      </c>
      <c r="QI9">
        <v>-1</v>
      </c>
      <c r="QJ9">
        <v>-1</v>
      </c>
      <c r="QK9">
        <v>-1</v>
      </c>
      <c r="QL9">
        <v>-1</v>
      </c>
    </row>
    <row r="10" spans="1:454" x14ac:dyDescent="0.25">
      <c r="A10" t="s">
        <v>1692</v>
      </c>
      <c r="B10" t="s">
        <v>1019</v>
      </c>
      <c r="C10" t="s">
        <v>1693</v>
      </c>
      <c r="D10" t="s">
        <v>1402</v>
      </c>
      <c r="E10" t="s">
        <v>1445</v>
      </c>
      <c r="F10" t="s">
        <v>1694</v>
      </c>
      <c r="G10" t="s">
        <v>1226</v>
      </c>
      <c r="H10" t="s">
        <v>1695</v>
      </c>
      <c r="I10" t="s">
        <v>1696</v>
      </c>
      <c r="J10" t="s">
        <v>1697</v>
      </c>
      <c r="K10" t="s">
        <v>1698</v>
      </c>
      <c r="L10" t="s">
        <v>1699</v>
      </c>
      <c r="M10" t="s">
        <v>1700</v>
      </c>
      <c r="N10" t="s">
        <v>1701</v>
      </c>
      <c r="O10" t="s">
        <v>1702</v>
      </c>
      <c r="P10" t="s">
        <v>1703</v>
      </c>
      <c r="Q10" t="s">
        <v>1325</v>
      </c>
      <c r="R10" t="s">
        <v>1401</v>
      </c>
      <c r="S10" t="s">
        <v>1183</v>
      </c>
      <c r="T10" t="s">
        <v>1506</v>
      </c>
      <c r="U10" t="s">
        <v>1704</v>
      </c>
      <c r="V10" t="s">
        <v>1705</v>
      </c>
      <c r="W10" t="s">
        <v>1439</v>
      </c>
      <c r="X10" t="s">
        <v>1706</v>
      </c>
      <c r="Y10" t="s">
        <v>1707</v>
      </c>
      <c r="Z10" t="s">
        <v>1708</v>
      </c>
      <c r="AA10" t="s">
        <v>1709</v>
      </c>
      <c r="AB10" t="s">
        <v>1710</v>
      </c>
      <c r="AC10" t="s">
        <v>1711</v>
      </c>
      <c r="AD10" t="s">
        <v>1712</v>
      </c>
      <c r="AE10" t="s">
        <v>1713</v>
      </c>
      <c r="AF10" t="s">
        <v>1714</v>
      </c>
      <c r="AG10" t="s">
        <v>1715</v>
      </c>
      <c r="AH10" t="s">
        <v>1716</v>
      </c>
      <c r="AI10" t="s">
        <v>873</v>
      </c>
      <c r="AJ10" t="s">
        <v>1717</v>
      </c>
      <c r="AK10" t="s">
        <v>1538</v>
      </c>
      <c r="AL10" t="s">
        <v>1718</v>
      </c>
      <c r="AM10" t="s">
        <v>1366</v>
      </c>
      <c r="AN10" t="s">
        <v>1360</v>
      </c>
      <c r="AO10" t="s">
        <v>1480</v>
      </c>
      <c r="AP10" t="s">
        <v>1719</v>
      </c>
      <c r="AQ10" t="s">
        <v>1720</v>
      </c>
      <c r="AR10" t="s">
        <v>1721</v>
      </c>
      <c r="AS10" t="s">
        <v>1722</v>
      </c>
      <c r="AT10" t="s">
        <v>1723</v>
      </c>
      <c r="AU10" t="s">
        <v>1724</v>
      </c>
      <c r="AV10" t="s">
        <v>1725</v>
      </c>
      <c r="AW10" t="s">
        <v>1726</v>
      </c>
      <c r="AX10" t="s">
        <v>1727</v>
      </c>
      <c r="AY10" t="s">
        <v>1353</v>
      </c>
      <c r="AZ10" t="s">
        <v>1728</v>
      </c>
      <c r="BA10" t="s">
        <v>1729</v>
      </c>
      <c r="BB10" t="s">
        <v>1730</v>
      </c>
      <c r="BC10" t="s">
        <v>1392</v>
      </c>
      <c r="BD10" t="s">
        <v>1731</v>
      </c>
      <c r="BE10" t="s">
        <v>1732</v>
      </c>
      <c r="BF10" t="s">
        <v>1733</v>
      </c>
      <c r="BG10" t="s">
        <v>1734</v>
      </c>
      <c r="BH10" t="s">
        <v>1735</v>
      </c>
      <c r="BI10" t="s">
        <v>1736</v>
      </c>
      <c r="BJ10" t="s">
        <v>1461</v>
      </c>
      <c r="BK10" t="s">
        <v>1423</v>
      </c>
      <c r="BL10" t="s">
        <v>936</v>
      </c>
      <c r="BM10" t="s">
        <v>1276</v>
      </c>
      <c r="BN10" t="s">
        <v>1154</v>
      </c>
      <c r="BO10" t="s">
        <v>1737</v>
      </c>
      <c r="BP10" t="s">
        <v>1230</v>
      </c>
      <c r="BQ10" t="s">
        <v>1738</v>
      </c>
      <c r="BR10" t="s">
        <v>1739</v>
      </c>
      <c r="BS10" t="s">
        <v>1630</v>
      </c>
      <c r="BT10" t="s">
        <v>1193</v>
      </c>
      <c r="BU10" t="s">
        <v>1290</v>
      </c>
      <c r="BV10" t="s">
        <v>1740</v>
      </c>
      <c r="BW10" t="s">
        <v>1230</v>
      </c>
      <c r="BY10" t="s">
        <v>1527</v>
      </c>
      <c r="BZ10" t="s">
        <v>1741</v>
      </c>
      <c r="CA10" t="s">
        <v>1035</v>
      </c>
      <c r="CB10" t="s">
        <v>939</v>
      </c>
      <c r="CC10" t="s">
        <v>1742</v>
      </c>
      <c r="CD10" t="s">
        <v>967</v>
      </c>
      <c r="CE10" t="s">
        <v>1743</v>
      </c>
      <c r="CF10" t="s">
        <v>1448</v>
      </c>
      <c r="CG10" t="s">
        <v>1744</v>
      </c>
      <c r="CH10" t="s">
        <v>1620</v>
      </c>
      <c r="CI10" t="s">
        <v>1745</v>
      </c>
      <c r="CJ10" t="s">
        <v>1415</v>
      </c>
      <c r="CK10" t="s">
        <v>1194</v>
      </c>
      <c r="CL10" t="s">
        <v>1746</v>
      </c>
      <c r="CM10" t="s">
        <v>1048</v>
      </c>
      <c r="CN10" t="s">
        <v>1747</v>
      </c>
      <c r="CO10" t="s">
        <v>1461</v>
      </c>
      <c r="CP10" t="s">
        <v>1177</v>
      </c>
      <c r="CQ10" t="s">
        <v>1280</v>
      </c>
      <c r="CS10" t="s">
        <v>1600</v>
      </c>
      <c r="CT10" t="s">
        <v>1717</v>
      </c>
      <c r="CU10" t="s">
        <v>1748</v>
      </c>
      <c r="CV10" t="s">
        <v>1749</v>
      </c>
      <c r="CW10" t="s">
        <v>1750</v>
      </c>
      <c r="CX10" t="s">
        <v>1751</v>
      </c>
      <c r="CY10" t="s">
        <v>934</v>
      </c>
      <c r="CZ10" t="s">
        <v>1752</v>
      </c>
      <c r="DA10" t="s">
        <v>1753</v>
      </c>
      <c r="DB10" t="s">
        <v>1754</v>
      </c>
      <c r="DC10" t="s">
        <v>1755</v>
      </c>
      <c r="DD10" t="s">
        <v>1756</v>
      </c>
      <c r="DE10" t="s">
        <v>1757</v>
      </c>
      <c r="DF10" t="s">
        <v>1758</v>
      </c>
      <c r="DG10" t="s">
        <v>1759</v>
      </c>
      <c r="DH10" t="s">
        <v>1760</v>
      </c>
      <c r="DI10" t="s">
        <v>1761</v>
      </c>
      <c r="DJ10" t="s">
        <v>1762</v>
      </c>
      <c r="DK10" t="s">
        <v>1315</v>
      </c>
      <c r="DL10" t="s">
        <v>1763</v>
      </c>
      <c r="DM10" t="s">
        <v>1163</v>
      </c>
      <c r="DN10" t="s">
        <v>1764</v>
      </c>
      <c r="DO10" t="s">
        <v>1765</v>
      </c>
      <c r="DP10" t="s">
        <v>1654</v>
      </c>
      <c r="DQ10" t="s">
        <v>1162</v>
      </c>
      <c r="DR10" t="s">
        <v>1766</v>
      </c>
      <c r="DS10" t="s">
        <v>1045</v>
      </c>
      <c r="DT10" t="s">
        <v>1767</v>
      </c>
      <c r="DU10" t="s">
        <v>1768</v>
      </c>
      <c r="DV10" t="s">
        <v>1769</v>
      </c>
      <c r="DW10" t="s">
        <v>1770</v>
      </c>
      <c r="DX10" t="s">
        <v>1771</v>
      </c>
      <c r="DY10" t="s">
        <v>1772</v>
      </c>
      <c r="DZ10" t="s">
        <v>1773</v>
      </c>
      <c r="EA10" t="s">
        <v>1157</v>
      </c>
      <c r="EB10" t="s">
        <v>1774</v>
      </c>
      <c r="EC10" t="s">
        <v>1775</v>
      </c>
      <c r="ED10" t="s">
        <v>1776</v>
      </c>
      <c r="EE10" t="s">
        <v>1777</v>
      </c>
      <c r="EF10" t="s">
        <v>1778</v>
      </c>
      <c r="EG10" t="s">
        <v>1777</v>
      </c>
      <c r="EH10" t="s">
        <v>1024</v>
      </c>
      <c r="EI10" t="s">
        <v>1779</v>
      </c>
      <c r="EJ10" t="s">
        <v>1780</v>
      </c>
      <c r="EK10" t="s">
        <v>1781</v>
      </c>
      <c r="EL10" t="s">
        <v>1782</v>
      </c>
      <c r="EM10" t="s">
        <v>1783</v>
      </c>
      <c r="EN10" t="s">
        <v>1784</v>
      </c>
      <c r="EO10" t="s">
        <v>1785</v>
      </c>
      <c r="EP10" t="s">
        <v>1786</v>
      </c>
      <c r="EQ10" t="s">
        <v>1787</v>
      </c>
      <c r="ER10" t="s">
        <v>1788</v>
      </c>
      <c r="ES10" t="s">
        <v>1789</v>
      </c>
      <c r="ET10" t="s">
        <v>1323</v>
      </c>
      <c r="EU10" t="s">
        <v>1790</v>
      </c>
      <c r="EV10" t="s">
        <v>1791</v>
      </c>
      <c r="EW10" t="s">
        <v>1792</v>
      </c>
      <c r="EX10" t="s">
        <v>1793</v>
      </c>
      <c r="EY10" t="s">
        <v>1794</v>
      </c>
      <c r="EZ10" t="s">
        <v>1795</v>
      </c>
      <c r="FA10" t="s">
        <v>1337</v>
      </c>
      <c r="FB10" t="s">
        <v>1796</v>
      </c>
      <c r="FC10" t="s">
        <v>1797</v>
      </c>
      <c r="FD10" t="s">
        <v>1798</v>
      </c>
      <c r="FE10" t="s">
        <v>1799</v>
      </c>
      <c r="FF10" t="s">
        <v>1800</v>
      </c>
      <c r="FG10" t="s">
        <v>1801</v>
      </c>
      <c r="FH10" t="s">
        <v>1802</v>
      </c>
      <c r="FI10" t="s">
        <v>1242</v>
      </c>
      <c r="FJ10" t="s">
        <v>1250</v>
      </c>
      <c r="FK10" t="s">
        <v>1590</v>
      </c>
      <c r="FM10" t="s">
        <v>931</v>
      </c>
      <c r="FN10" t="s">
        <v>1803</v>
      </c>
      <c r="FO10" t="s">
        <v>1022</v>
      </c>
      <c r="FP10" t="s">
        <v>934</v>
      </c>
      <c r="FQ10" t="s">
        <v>871</v>
      </c>
      <c r="FR10" t="s">
        <v>1428</v>
      </c>
      <c r="FS10" t="s">
        <v>1376</v>
      </c>
      <c r="FU10" t="s">
        <v>1304</v>
      </c>
      <c r="FV10" t="s">
        <v>1804</v>
      </c>
      <c r="FW10" t="s">
        <v>1254</v>
      </c>
      <c r="FX10" t="s">
        <v>1122</v>
      </c>
      <c r="FY10" t="s">
        <v>1447</v>
      </c>
      <c r="GA10" t="s">
        <v>1506</v>
      </c>
      <c r="GC10" t="s">
        <v>1805</v>
      </c>
      <c r="GD10" t="s">
        <v>1097</v>
      </c>
      <c r="GE10" t="s">
        <v>1739</v>
      </c>
      <c r="GF10" t="s">
        <v>1764</v>
      </c>
      <c r="GG10" t="s">
        <v>1764</v>
      </c>
      <c r="GH10" t="s">
        <v>1806</v>
      </c>
      <c r="GI10" t="s">
        <v>1216</v>
      </c>
      <c r="GJ10" t="s">
        <v>996</v>
      </c>
      <c r="GK10" t="s">
        <v>1366</v>
      </c>
      <c r="GL10" t="s">
        <v>1807</v>
      </c>
      <c r="GN10" t="s">
        <v>1808</v>
      </c>
      <c r="GO10" t="s">
        <v>1273</v>
      </c>
      <c r="GP10" t="s">
        <v>1085</v>
      </c>
      <c r="GR10" t="s">
        <v>1809</v>
      </c>
      <c r="GS10" t="s">
        <v>1809</v>
      </c>
      <c r="GT10" t="s">
        <v>1662</v>
      </c>
      <c r="GU10" t="s">
        <v>1810</v>
      </c>
      <c r="GV10" t="s">
        <v>1811</v>
      </c>
      <c r="GW10">
        <f>-401.4587--398.7122</f>
        <v>-2.7465000000000259</v>
      </c>
      <c r="GX10">
        <f>-398.4833--397.3389</f>
        <v>-1.1443999999999619</v>
      </c>
      <c r="GY10">
        <f>-400.0854--398.941</f>
        <v>-1.1444000000000187</v>
      </c>
      <c r="GZ10">
        <f>-402.6031--399.6277</f>
        <v>-2.9753999999999792</v>
      </c>
      <c r="HA10">
        <f>-400.0854--398.7122</f>
        <v>-1.3731999999999971</v>
      </c>
      <c r="HB10">
        <f>-400.5432--399.1699</f>
        <v>-1.3733000000000288</v>
      </c>
      <c r="HC10">
        <f>-397.5677--396.8811</f>
        <v>-0.68659999999999854</v>
      </c>
      <c r="HD10">
        <f>-398.4833--397.7966</f>
        <v>-0.68669999999997344</v>
      </c>
      <c r="HE10">
        <f>-403.5187--401.6876</f>
        <v>-1.831100000000049</v>
      </c>
      <c r="HF10">
        <f>-397.7966--397.11</f>
        <v>-0.68659999999999854</v>
      </c>
      <c r="HG10">
        <f>-399.1699--397.5677</f>
        <v>-1.6021999999999821</v>
      </c>
      <c r="HH10">
        <f>-400.0854--398.941</f>
        <v>-1.1444000000000187</v>
      </c>
      <c r="HI10">
        <f>-400.3143--399.1699</f>
        <v>-1.1444000000000187</v>
      </c>
      <c r="HJ10">
        <f>-401.2299--399.3988</f>
        <v>-1.8310999999999922</v>
      </c>
      <c r="HK10">
        <f>-376.2817--376.7395</f>
        <v>0.45780000000002019</v>
      </c>
      <c r="HL10">
        <f>-375.824--375.3662</f>
        <v>-0.45780000000002019</v>
      </c>
      <c r="HM10">
        <f>-398.7122--398.0255</f>
        <v>-0.68669999999997344</v>
      </c>
      <c r="HN10">
        <f>-398.941--398.2544</f>
        <v>-0.68659999999999854</v>
      </c>
      <c r="HO10">
        <f>-402.1454--401.6876</f>
        <v>-0.45780000000002019</v>
      </c>
      <c r="HP10">
        <f>-401.001--400.3143</f>
        <v>-0.68669999999997344</v>
      </c>
      <c r="HR10">
        <f>-437.1643--436.7065</f>
        <v>-0.45780000000002019</v>
      </c>
      <c r="HS10">
        <f>-481.3385--480.6519</f>
        <v>-0.68659999999999854</v>
      </c>
      <c r="HT10">
        <f>-483.1696--482.254</f>
        <v>-0.91559999999998354</v>
      </c>
      <c r="HU10">
        <f>-484.5428--483.8562</f>
        <v>-0.68659999999999854</v>
      </c>
      <c r="HV10">
        <f>-397.11--394.5923</f>
        <v>-2.5176999999999907</v>
      </c>
      <c r="HW10">
        <f>-399.1699--397.5677</f>
        <v>-1.6021999999999821</v>
      </c>
      <c r="HX10">
        <f>-396.1945--394.5923</f>
        <v>-1.6021999999999821</v>
      </c>
      <c r="HZ10">
        <f>-393.4479--392.0746</f>
        <v>-1.3733000000000288</v>
      </c>
      <c r="IA10">
        <f>-393.9056--392.5323</f>
        <v>-1.373299999999972</v>
      </c>
      <c r="IB10">
        <f>-393.9056--392.7612</f>
        <v>-1.1444000000000187</v>
      </c>
      <c r="IC10">
        <f>-395.2789--394.5923</f>
        <v>-0.68659999999999854</v>
      </c>
      <c r="ID10">
        <f>-398.4833--397.7966</f>
        <v>-0.68669999999997344</v>
      </c>
      <c r="IE10">
        <f>-400.3143--398.941</f>
        <v>-1.3733000000000288</v>
      </c>
      <c r="IF10">
        <f>-399.3988--398.7122</f>
        <v>-0.68659999999999854</v>
      </c>
      <c r="IG10">
        <f>-399.8566--399.1699</f>
        <v>-0.68670000000003029</v>
      </c>
      <c r="IH10">
        <f>-398.941--398.0255</f>
        <v>-0.9154999999999518</v>
      </c>
      <c r="II10">
        <f>-400.0854--399.8566</f>
        <v>-0.22879999999997835</v>
      </c>
      <c r="IJ10">
        <f>-400.3143--400.5432</f>
        <v>0.2289000000000101</v>
      </c>
      <c r="IK10">
        <f>-400.0854--399.8566</f>
        <v>-0.22879999999997835</v>
      </c>
      <c r="IL10">
        <f>-359.1156--357.9712</f>
        <v>-1.1443999999999619</v>
      </c>
      <c r="IM10">
        <f>-324.5544--322.9523</f>
        <v>-1.6021000000000072</v>
      </c>
      <c r="IN10">
        <f>-403.0609--402.6031</f>
        <v>-0.45780000000002019</v>
      </c>
      <c r="IO10">
        <f>-482.7118--482.4829</f>
        <v>-0.2289000000000101</v>
      </c>
      <c r="IP10">
        <f>-488.8916--488.6627</f>
        <v>-0.2289000000000101</v>
      </c>
      <c r="IQ10">
        <f>-403.2898--402.3743</f>
        <v>-0.91550000000000864</v>
      </c>
      <c r="IR10">
        <f>-405.5786--403.5187</f>
        <v>-2.0598999999999705</v>
      </c>
      <c r="IS10">
        <f>-396.1945--395.5078</f>
        <v>-0.68670000000003029</v>
      </c>
      <c r="IT10">
        <f>-400.0854--399.8566</f>
        <v>-0.22879999999997835</v>
      </c>
      <c r="IU10">
        <f>-485.0006--484.7717</f>
        <v>-0.2289000000000101</v>
      </c>
      <c r="IV10">
        <f>-398.4833--397.3389</f>
        <v>-1.1443999999999619</v>
      </c>
      <c r="IW10">
        <f>-401.001--400.5432</f>
        <v>-0.45779999999996335</v>
      </c>
      <c r="IX10">
        <f>-400.3143--399.8566</f>
        <v>-0.45769999999998845</v>
      </c>
      <c r="IY10">
        <f>-489.1205--488.6627</f>
        <v>-0.45780000000002019</v>
      </c>
      <c r="IZ10">
        <f>-487.7472--486.3739</f>
        <v>-1.3733000000000288</v>
      </c>
      <c r="JA10">
        <f>-482.0251--481.5674</f>
        <v>-0.45769999999998845</v>
      </c>
      <c r="JB10">
        <f>-483.6273--482.9407</f>
        <v>-0.68659999999999854</v>
      </c>
      <c r="JC10">
        <f>-408.5541--407.4097</f>
        <v>-1.1444000000000187</v>
      </c>
      <c r="JD10">
        <f>-388.1836--386.8103</f>
        <v>-1.3733000000000288</v>
      </c>
      <c r="JE10">
        <f>-393.9056--389.5569</f>
        <v>-4.348700000000008</v>
      </c>
      <c r="JF10">
        <f>-392.3035--390.7013</f>
        <v>-1.6021999999999821</v>
      </c>
      <c r="JG10">
        <f>-392.9901--392.5323</f>
        <v>-0.45779999999996335</v>
      </c>
      <c r="JH10">
        <f>-396.8811--395.7367</f>
        <v>-1.1444000000000187</v>
      </c>
      <c r="JI10">
        <f>-393.9056--392.3035</f>
        <v>-1.6021000000000072</v>
      </c>
      <c r="JJ10">
        <f>-398.4833--397.3389</f>
        <v>-1.1443999999999619</v>
      </c>
      <c r="JK10">
        <f>-398.2544--396.6522</f>
        <v>-1.6021999999999821</v>
      </c>
      <c r="JL10">
        <f>-392.3035--391.8457</f>
        <v>-0.45779999999996335</v>
      </c>
      <c r="JM10">
        <f>-397.7966--396.4233</f>
        <v>-1.3733000000000288</v>
      </c>
      <c r="JN10">
        <f>-396.8811--395.9656</f>
        <v>-0.91550000000000864</v>
      </c>
      <c r="JO10">
        <f>-399.8566--398.4833</f>
        <v>-1.3733000000000288</v>
      </c>
      <c r="JP10">
        <f>-396.6522--394.3634</f>
        <v>-2.2887999999999806</v>
      </c>
      <c r="JQ10">
        <f>-398.2544--397.5677</f>
        <v>-0.68669999999997344</v>
      </c>
      <c r="JR10">
        <f>-397.5677--396.8811</f>
        <v>-0.68659999999999854</v>
      </c>
      <c r="JS10">
        <f>-396.6522--395.7367</f>
        <v>-0.91550000000000864</v>
      </c>
      <c r="JT10">
        <f>-396.4233--395.7367</f>
        <v>-0.68659999999999854</v>
      </c>
      <c r="JU10">
        <f>-395.2789--394.5923</f>
        <v>-0.68659999999999854</v>
      </c>
      <c r="JV10">
        <f>-396.4233--396.6522</f>
        <v>0.2289000000000101</v>
      </c>
      <c r="JW10">
        <f>-396.4233--395.9656</f>
        <v>-0.45769999999998845</v>
      </c>
      <c r="JX10">
        <f>-397.3389--396.1945</f>
        <v>-1.1444000000000187</v>
      </c>
      <c r="JY10">
        <f>-438.0798--437.6221</f>
        <v>-0.45769999999998845</v>
      </c>
      <c r="JZ10">
        <f>-396.8811--396.4233</f>
        <v>-0.45780000000002019</v>
      </c>
      <c r="KA10">
        <f>-401.001--400.7721</f>
        <v>-0.22889999999995325</v>
      </c>
      <c r="KB10">
        <f>-397.5677--396.1945</f>
        <v>-1.3731999999999971</v>
      </c>
      <c r="KC10">
        <f>-397.7966--396.8811</f>
        <v>-0.91550000000000864</v>
      </c>
      <c r="KD10">
        <f>-398.0255--397.11</f>
        <v>-0.91550000000000864</v>
      </c>
      <c r="KE10">
        <f>-374.9084--374.4507</f>
        <v>-0.45769999999998845</v>
      </c>
      <c r="KF10">
        <f>-396.8811--396.4233</f>
        <v>-0.45780000000002019</v>
      </c>
      <c r="KG10">
        <f>-373.764--373.9929</f>
        <v>0.2289000000000101</v>
      </c>
      <c r="KH10">
        <f>-375.1373--374.4507</f>
        <v>-0.68659999999999854</v>
      </c>
      <c r="KI10">
        <f>-373.9929--373.764</f>
        <v>-0.2289000000000101</v>
      </c>
      <c r="KJ10">
        <f>-400.7721--396.4233</f>
        <v>-4.3488000000000397</v>
      </c>
      <c r="KK10">
        <f>-396.6522--395.9656</f>
        <v>-0.68659999999999854</v>
      </c>
      <c r="KL10">
        <f>-397.11--396.8811</f>
        <v>-0.2289000000000101</v>
      </c>
      <c r="KM10">
        <f>-395.2789--394.8212</f>
        <v>-0.45770000000004529</v>
      </c>
      <c r="KN10">
        <f>-398.7122--398.0255</f>
        <v>-0.68669999999997344</v>
      </c>
      <c r="KO10">
        <f>-399.1699--394.8212</f>
        <v>-4.348700000000008</v>
      </c>
      <c r="KP10">
        <f>-403.9764--394.5923</f>
        <v>-9.3840999999999894</v>
      </c>
      <c r="KQ10">
        <f>-409.0118--407.1808</f>
        <v>-1.8310000000000173</v>
      </c>
      <c r="KR10">
        <f>-398.4833--396.8811</f>
        <v>-1.6021999999999821</v>
      </c>
      <c r="KS10">
        <f>-399.8566--398.7122</f>
        <v>-1.1444000000000187</v>
      </c>
      <c r="KT10">
        <f>-401.001--397.5677</f>
        <v>-3.4332999999999743</v>
      </c>
      <c r="KU10">
        <f>-401.001--398.2544</f>
        <v>-2.7466000000000008</v>
      </c>
      <c r="KV10">
        <f>-400.3143--398.7122</f>
        <v>-1.6021000000000072</v>
      </c>
      <c r="KW10">
        <f>-398.0255--397.5677</f>
        <v>-0.45780000000002019</v>
      </c>
      <c r="KX10">
        <f>-399.3988--399.8566</f>
        <v>0.45780000000002019</v>
      </c>
      <c r="KY10">
        <f>-401.6876--399.3988</f>
        <v>-2.2887999999999806</v>
      </c>
      <c r="LA10">
        <f>-399.1699--398.941</f>
        <v>-0.2289000000000101</v>
      </c>
      <c r="LB10">
        <f>-398.4833--397.5677</f>
        <v>-0.91559999999998354</v>
      </c>
      <c r="LC10">
        <f>-401.2299--399.8566</f>
        <v>-1.373299999999972</v>
      </c>
      <c r="LD10">
        <f>-399.1699--397.7966</f>
        <v>-1.373299999999972</v>
      </c>
      <c r="LE10">
        <f>-377.8839--375.5951</f>
        <v>-2.2887999999999806</v>
      </c>
      <c r="LF10">
        <f>-375.5951--374.9084</f>
        <v>-0.68670000000003029</v>
      </c>
      <c r="LG10">
        <f>-399.6277--398.4833</f>
        <v>-1.1444000000000187</v>
      </c>
      <c r="LH10">
        <f>-398.7122--397.5677</f>
        <v>-1.1444999999999936</v>
      </c>
      <c r="LI10">
        <f>-401.2299--400.7721</f>
        <v>-0.45779999999996335</v>
      </c>
      <c r="LJ10">
        <f>-400.3143--399.3988</f>
        <v>-0.91550000000000864</v>
      </c>
      <c r="LK10">
        <f>-398.941--398.0255</f>
        <v>-0.9154999999999518</v>
      </c>
      <c r="LL10">
        <f>-398.7122--397.5677</f>
        <v>-1.1444999999999936</v>
      </c>
      <c r="LM10">
        <f>-407.8674--408.0963</f>
        <v>0.2289000000000101</v>
      </c>
      <c r="LO10">
        <f>-475.3876--474.472</f>
        <v>-0.91560000000004038</v>
      </c>
      <c r="LP10">
        <f>-476.0742--474.9298</f>
        <v>-1.1444000000000187</v>
      </c>
      <c r="LR10">
        <f>-395.05--393.219</f>
        <v>-1.8310000000000173</v>
      </c>
      <c r="LS10">
        <f>-396.1945--394.8212</f>
        <v>-1.3733000000000288</v>
      </c>
      <c r="LT10">
        <f>-395.9656--394.8212</f>
        <v>-1.1444000000000187</v>
      </c>
      <c r="LU10">
        <f>-395.9656--393.6768</f>
        <v>-2.2887999999999806</v>
      </c>
      <c r="LV10">
        <f>-393.6768--391.8457</f>
        <v>-1.8310999999999922</v>
      </c>
      <c r="LW10">
        <f>-394.1345--393.4479</f>
        <v>-0.68659999999999854</v>
      </c>
      <c r="LX10">
        <f>-394.5923--393.4479</f>
        <v>-1.1444000000000187</v>
      </c>
      <c r="LY10">
        <f>-395.9656--394.1345</f>
        <v>-1.8310999999999922</v>
      </c>
      <c r="LZ10">
        <f>-395.5078--393.4479</f>
        <v>-2.0598999999999705</v>
      </c>
      <c r="MA10">
        <f>-399.1699--398.0255</f>
        <v>-1.1443999999999619</v>
      </c>
      <c r="MB10">
        <f>-394.3634--393.4479</f>
        <v>-0.91550000000000864</v>
      </c>
      <c r="MC10">
        <f>-399.6277--397.7966</f>
        <v>-1.8310999999999922</v>
      </c>
      <c r="MD10">
        <f>-400.0854--398.2544</f>
        <v>-1.8310000000000173</v>
      </c>
      <c r="ME10">
        <f>-398.941--398.2544</f>
        <v>-0.68659999999999854</v>
      </c>
      <c r="MF10">
        <f>-402.6031--400.3143</f>
        <v>-2.2887999999999806</v>
      </c>
      <c r="MH10">
        <f>-404.2053--403.7476</f>
        <v>-0.45770000000004529</v>
      </c>
      <c r="MI10">
        <f>-402.832--402.3743</f>
        <v>-0.45769999999998845</v>
      </c>
      <c r="MJ10">
        <f>-402.6031--401.9165</f>
        <v>-0.68659999999999854</v>
      </c>
      <c r="ML10">
        <f>-354.7668--353.3936</f>
        <v>-1.3731999999999971</v>
      </c>
      <c r="MM10">
        <f>-321.3501--319.0613</f>
        <v>-2.2887999999999806</v>
      </c>
      <c r="MN10">
        <f>-480.423--479.5074</f>
        <v>-0.91559999999998354</v>
      </c>
      <c r="MO10">
        <f>-486.6028--486.8317</f>
        <v>0.2289000000000101</v>
      </c>
      <c r="MP10">
        <f>-397.11--396.6522</f>
        <v>-0.45780000000002019</v>
      </c>
      <c r="MQ10">
        <f>-487.7472--487.9761</f>
        <v>0.22889999999995325</v>
      </c>
      <c r="MR10">
        <f>-485.6873--485.4584</f>
        <v>-0.2289000000000101</v>
      </c>
      <c r="MS10">
        <f>-489.8071--488.6627</f>
        <v>-1.1444000000000187</v>
      </c>
      <c r="MT10">
        <f>-396.6522--395.5078</f>
        <v>-1.1444000000000187</v>
      </c>
      <c r="MU10">
        <f>-403.0609--402.6031</f>
        <v>-0.45780000000002019</v>
      </c>
      <c r="MV10">
        <f>-399.3988--398.7122</f>
        <v>-0.68659999999999854</v>
      </c>
      <c r="MW10">
        <f>-404.6631--404.4342</f>
        <v>-0.2289000000000101</v>
      </c>
      <c r="MX10">
        <f>-490.7227--489.8071</f>
        <v>-0.91559999999998354</v>
      </c>
      <c r="MY10">
        <f>-491.4093--490.7227</f>
        <v>-0.68659999999999854</v>
      </c>
      <c r="MZ10">
        <f>-489.3494--488.205</f>
        <v>-1.1444000000000187</v>
      </c>
      <c r="NA10">
        <f>-462.5702--462.1124</f>
        <v>-0.45780000000002019</v>
      </c>
      <c r="NB10">
        <f>-390.9302--389.0991</f>
        <v>-1.8310999999999922</v>
      </c>
      <c r="NC10">
        <f>-391.6168--390.2435</f>
        <v>-1.3733000000000288</v>
      </c>
      <c r="ND10">
        <f>-392.0746--391.1591</f>
        <v>-0.9154999999999518</v>
      </c>
      <c r="NE10">
        <f>-396.1945--392.7612</f>
        <v>-3.4333000000000311</v>
      </c>
      <c r="NF10">
        <f>-395.5078--394.8212</f>
        <v>-0.68659999999999854</v>
      </c>
      <c r="NG10">
        <f>-393.219--391.8457</f>
        <v>-1.373299999999972</v>
      </c>
      <c r="NH10">
        <f>-399.1699--397.7966</f>
        <v>-1.373299999999972</v>
      </c>
      <c r="NI10">
        <f>-393.219--392.5323</f>
        <v>-0.68669999999997344</v>
      </c>
      <c r="NJ10">
        <f>-398.7122--397.3389</f>
        <v>-1.373299999999972</v>
      </c>
      <c r="NK10">
        <f>-392.3035--392.0746</f>
        <v>-0.2289000000000101</v>
      </c>
      <c r="NL10">
        <f>-394.1345--391.6168</f>
        <v>-2.5176999999999907</v>
      </c>
      <c r="NM10">
        <f>-397.11--395.7367</f>
        <v>-1.3733000000000288</v>
      </c>
      <c r="NN10">
        <f>-393.4479--392.3035</f>
        <v>-1.1444000000000187</v>
      </c>
      <c r="NP10">
        <f>-396.8811--395.9656</f>
        <v>-0.91550000000000864</v>
      </c>
      <c r="NQ10">
        <f>-397.3389--395.5078</f>
        <v>-1.831100000000049</v>
      </c>
      <c r="NS10">
        <f>-396.6522--395.2789</f>
        <v>-1.373299999999972</v>
      </c>
      <c r="NT10">
        <f>-396.8811--395.7367</f>
        <v>-1.1444000000000187</v>
      </c>
      <c r="NU10">
        <f>-396.1945--396.4233</f>
        <v>0.22879999999997835</v>
      </c>
      <c r="NV10">
        <f>-395.2789--395.05</f>
        <v>-0.2289000000000101</v>
      </c>
      <c r="NW10">
        <f>-401.2299--400.7721</f>
        <v>-0.45779999999996335</v>
      </c>
      <c r="NY10">
        <f>-397.3389--396.8811</f>
        <v>-0.45780000000002019</v>
      </c>
      <c r="OA10">
        <f>-395.05--395.2789</f>
        <v>0.2289000000000101</v>
      </c>
      <c r="OB10">
        <f>-373.5352--372.8485</f>
        <v>-0.68669999999997344</v>
      </c>
      <c r="OC10">
        <f>-396.8811--395.2789</f>
        <v>-1.6021999999999821</v>
      </c>
      <c r="OD10">
        <f>-373.5352--373.3063</f>
        <v>-0.22889999999995325</v>
      </c>
      <c r="OE10">
        <f>-373.3063--372.8485</f>
        <v>-0.45780000000002019</v>
      </c>
      <c r="OF10">
        <f>-374.6796--373.764</f>
        <v>-0.91559999999998354</v>
      </c>
      <c r="OH10">
        <f>-396.1945--396.4233</f>
        <v>0.22879999999997835</v>
      </c>
      <c r="OI10">
        <f>-398.4833--396.1945</f>
        <v>-2.2887999999999806</v>
      </c>
      <c r="OJ10">
        <f>-397.7966--396.4233</f>
        <v>-1.3733000000000288</v>
      </c>
      <c r="OL10">
        <f>-397.11--396.4233</f>
        <v>-0.68670000000003029</v>
      </c>
      <c r="OM10">
        <f>-398.0255--395.9656</f>
        <v>-2.0599000000000274</v>
      </c>
      <c r="ON10">
        <f>-395.9656--394.5923</f>
        <v>-1.373299999999972</v>
      </c>
      <c r="OO10">
        <f>-402.1454--401.2299</f>
        <v>-0.91550000000000864</v>
      </c>
      <c r="OP10">
        <f>-401.2299--400.0854</f>
        <v>-1.1444999999999936</v>
      </c>
      <c r="PY10" t="s">
        <v>1167</v>
      </c>
      <c r="QE10">
        <v>-1</v>
      </c>
      <c r="QF10">
        <v>-1</v>
      </c>
      <c r="QG10">
        <v>-1</v>
      </c>
      <c r="QH10">
        <v>-1</v>
      </c>
      <c r="QI10">
        <v>-1</v>
      </c>
      <c r="QJ10">
        <v>-1</v>
      </c>
      <c r="QK10">
        <v>-1</v>
      </c>
      <c r="QL10">
        <v>-1</v>
      </c>
    </row>
    <row r="11" spans="1:454" x14ac:dyDescent="0.25">
      <c r="A11" t="s">
        <v>1812</v>
      </c>
      <c r="B11" t="s">
        <v>869</v>
      </c>
      <c r="C11" t="s">
        <v>1116</v>
      </c>
      <c r="D11" t="s">
        <v>1101</v>
      </c>
      <c r="E11" t="s">
        <v>1813</v>
      </c>
      <c r="F11" t="s">
        <v>1814</v>
      </c>
      <c r="H11" t="s">
        <v>1815</v>
      </c>
      <c r="I11" t="s">
        <v>1816</v>
      </c>
      <c r="J11" t="s">
        <v>1817</v>
      </c>
      <c r="K11" t="s">
        <v>1818</v>
      </c>
      <c r="L11" t="s">
        <v>1819</v>
      </c>
      <c r="M11" t="s">
        <v>1820</v>
      </c>
      <c r="N11" t="s">
        <v>1821</v>
      </c>
      <c r="O11" t="s">
        <v>1822</v>
      </c>
      <c r="P11" t="s">
        <v>1823</v>
      </c>
      <c r="Q11" t="s">
        <v>1824</v>
      </c>
      <c r="R11" t="s">
        <v>1825</v>
      </c>
      <c r="S11" t="s">
        <v>1826</v>
      </c>
      <c r="T11" t="s">
        <v>1827</v>
      </c>
      <c r="U11" t="s">
        <v>1828</v>
      </c>
      <c r="V11" t="s">
        <v>1681</v>
      </c>
      <c r="W11" t="s">
        <v>1415</v>
      </c>
      <c r="X11" t="s">
        <v>1829</v>
      </c>
      <c r="Y11" t="s">
        <v>1830</v>
      </c>
      <c r="Z11" t="s">
        <v>1831</v>
      </c>
      <c r="AA11" t="s">
        <v>1610</v>
      </c>
      <c r="AC11" t="s">
        <v>1466</v>
      </c>
      <c r="AD11" t="s">
        <v>1832</v>
      </c>
      <c r="AE11" t="s">
        <v>1833</v>
      </c>
      <c r="AF11" t="s">
        <v>1362</v>
      </c>
      <c r="AG11" t="s">
        <v>1834</v>
      </c>
      <c r="AH11" t="s">
        <v>1835</v>
      </c>
      <c r="AJ11" t="s">
        <v>1836</v>
      </c>
      <c r="AK11" t="s">
        <v>1481</v>
      </c>
      <c r="AL11" t="s">
        <v>1837</v>
      </c>
      <c r="AN11" t="s">
        <v>1838</v>
      </c>
      <c r="AO11" t="s">
        <v>1839</v>
      </c>
      <c r="AP11" t="s">
        <v>1840</v>
      </c>
      <c r="AQ11" t="s">
        <v>1841</v>
      </c>
      <c r="AS11" t="s">
        <v>1842</v>
      </c>
      <c r="AT11" t="s">
        <v>971</v>
      </c>
      <c r="AV11" t="s">
        <v>1732</v>
      </c>
      <c r="AW11" t="s">
        <v>899</v>
      </c>
      <c r="AX11" t="s">
        <v>1843</v>
      </c>
      <c r="AZ11" t="s">
        <v>1194</v>
      </c>
      <c r="BA11" t="s">
        <v>1844</v>
      </c>
      <c r="BB11" t="s">
        <v>1845</v>
      </c>
      <c r="BC11" t="s">
        <v>1034</v>
      </c>
      <c r="BD11" t="s">
        <v>951</v>
      </c>
      <c r="BE11" t="s">
        <v>1203</v>
      </c>
      <c r="BF11" t="s">
        <v>1846</v>
      </c>
      <c r="BG11" t="s">
        <v>1847</v>
      </c>
      <c r="BH11" t="s">
        <v>1204</v>
      </c>
      <c r="BI11" t="s">
        <v>1848</v>
      </c>
      <c r="BJ11" t="s">
        <v>1123</v>
      </c>
      <c r="BK11" t="s">
        <v>1650</v>
      </c>
      <c r="BL11" t="s">
        <v>1305</v>
      </c>
      <c r="BM11" t="s">
        <v>1402</v>
      </c>
      <c r="BN11" t="s">
        <v>940</v>
      </c>
      <c r="BO11" t="s">
        <v>1448</v>
      </c>
      <c r="BP11" t="s">
        <v>1302</v>
      </c>
      <c r="BQ11" t="s">
        <v>1511</v>
      </c>
      <c r="BR11" t="s">
        <v>1194</v>
      </c>
      <c r="BS11" t="s">
        <v>899</v>
      </c>
      <c r="BT11" t="s">
        <v>1226</v>
      </c>
      <c r="BU11" t="s">
        <v>875</v>
      </c>
      <c r="BV11" t="s">
        <v>1193</v>
      </c>
      <c r="BX11" t="s">
        <v>1718</v>
      </c>
      <c r="BY11" t="s">
        <v>1313</v>
      </c>
      <c r="BZ11" t="s">
        <v>1161</v>
      </c>
      <c r="CA11" t="s">
        <v>1415</v>
      </c>
      <c r="CB11" t="s">
        <v>1430</v>
      </c>
      <c r="CC11" t="s">
        <v>1101</v>
      </c>
      <c r="CD11" t="s">
        <v>1342</v>
      </c>
      <c r="CE11" t="s">
        <v>1849</v>
      </c>
      <c r="CF11" t="s">
        <v>1660</v>
      </c>
      <c r="CG11" t="s">
        <v>1325</v>
      </c>
      <c r="CH11" t="s">
        <v>1620</v>
      </c>
      <c r="CI11" t="s">
        <v>1100</v>
      </c>
      <c r="CJ11" t="s">
        <v>1850</v>
      </c>
      <c r="CK11" t="s">
        <v>1554</v>
      </c>
      <c r="CL11" t="s">
        <v>1522</v>
      </c>
      <c r="CM11" t="s">
        <v>1211</v>
      </c>
      <c r="CN11" t="s">
        <v>1036</v>
      </c>
      <c r="CO11" t="s">
        <v>1341</v>
      </c>
      <c r="CP11" t="s">
        <v>1311</v>
      </c>
      <c r="CQ11" t="s">
        <v>1598</v>
      </c>
      <c r="CR11" t="s">
        <v>1599</v>
      </c>
      <c r="CU11" t="s">
        <v>1851</v>
      </c>
      <c r="CV11" t="s">
        <v>1852</v>
      </c>
      <c r="CW11" t="s">
        <v>1853</v>
      </c>
      <c r="CX11" t="s">
        <v>1195</v>
      </c>
      <c r="CY11" t="s">
        <v>1827</v>
      </c>
      <c r="CZ11" t="s">
        <v>1814</v>
      </c>
      <c r="DA11" t="s">
        <v>1374</v>
      </c>
      <c r="DB11" t="s">
        <v>1854</v>
      </c>
      <c r="DC11" t="s">
        <v>1818</v>
      </c>
      <c r="DD11" t="s">
        <v>1855</v>
      </c>
      <c r="DE11" t="s">
        <v>1856</v>
      </c>
      <c r="DF11" t="s">
        <v>1817</v>
      </c>
      <c r="DG11" t="s">
        <v>1857</v>
      </c>
      <c r="DH11" t="s">
        <v>1858</v>
      </c>
      <c r="DI11" t="s">
        <v>1859</v>
      </c>
      <c r="DJ11" t="s">
        <v>1860</v>
      </c>
      <c r="DK11" t="s">
        <v>969</v>
      </c>
      <c r="DM11" t="s">
        <v>1193</v>
      </c>
      <c r="DN11" t="s">
        <v>1861</v>
      </c>
      <c r="DO11" t="s">
        <v>1862</v>
      </c>
      <c r="DP11" t="s">
        <v>1863</v>
      </c>
      <c r="DQ11" t="s">
        <v>1864</v>
      </c>
      <c r="DR11" t="s">
        <v>1865</v>
      </c>
      <c r="DS11" t="s">
        <v>1866</v>
      </c>
      <c r="DT11" t="s">
        <v>1867</v>
      </c>
      <c r="DU11" t="s">
        <v>1868</v>
      </c>
      <c r="DV11" t="s">
        <v>1114</v>
      </c>
      <c r="DW11" t="s">
        <v>1869</v>
      </c>
      <c r="DX11" t="s">
        <v>1375</v>
      </c>
      <c r="DY11" t="s">
        <v>1764</v>
      </c>
      <c r="DZ11" t="s">
        <v>1485</v>
      </c>
      <c r="EA11" t="s">
        <v>1870</v>
      </c>
      <c r="EB11" t="s">
        <v>1704</v>
      </c>
      <c r="EC11" t="s">
        <v>1746</v>
      </c>
      <c r="ED11" t="s">
        <v>1871</v>
      </c>
      <c r="EE11" t="s">
        <v>1835</v>
      </c>
      <c r="EF11" t="s">
        <v>1639</v>
      </c>
      <c r="EG11" t="s">
        <v>1872</v>
      </c>
      <c r="EH11" t="s">
        <v>1851</v>
      </c>
      <c r="EI11" t="s">
        <v>1873</v>
      </c>
      <c r="EJ11" t="s">
        <v>895</v>
      </c>
      <c r="EK11" t="s">
        <v>894</v>
      </c>
      <c r="EL11" t="s">
        <v>1860</v>
      </c>
      <c r="EM11" t="s">
        <v>1874</v>
      </c>
      <c r="EN11" t="s">
        <v>1875</v>
      </c>
      <c r="EO11" t="s">
        <v>1876</v>
      </c>
      <c r="EP11" t="s">
        <v>1877</v>
      </c>
      <c r="EQ11" t="s">
        <v>1878</v>
      </c>
      <c r="ER11" t="s">
        <v>1879</v>
      </c>
      <c r="ES11" t="s">
        <v>1880</v>
      </c>
      <c r="ET11" t="s">
        <v>1058</v>
      </c>
      <c r="EU11" t="s">
        <v>1671</v>
      </c>
      <c r="EV11" t="s">
        <v>1881</v>
      </c>
      <c r="EW11" t="s">
        <v>1882</v>
      </c>
      <c r="EX11" t="s">
        <v>1673</v>
      </c>
      <c r="EY11" t="s">
        <v>1883</v>
      </c>
      <c r="EZ11" t="s">
        <v>1048</v>
      </c>
      <c r="FA11" t="s">
        <v>1121</v>
      </c>
      <c r="FB11" t="s">
        <v>1738</v>
      </c>
      <c r="FC11" t="s">
        <v>1104</v>
      </c>
      <c r="FD11" t="s">
        <v>1884</v>
      </c>
      <c r="FE11" t="s">
        <v>1885</v>
      </c>
      <c r="FF11" t="s">
        <v>1886</v>
      </c>
      <c r="FG11" t="s">
        <v>1887</v>
      </c>
      <c r="FH11" t="s">
        <v>1796</v>
      </c>
      <c r="FI11" t="s">
        <v>900</v>
      </c>
      <c r="FK11" t="s">
        <v>1888</v>
      </c>
      <c r="FL11" t="s">
        <v>985</v>
      </c>
      <c r="FM11" t="s">
        <v>1448</v>
      </c>
      <c r="FN11" t="s">
        <v>1283</v>
      </c>
      <c r="FO11" t="s">
        <v>883</v>
      </c>
      <c r="FP11" t="s">
        <v>1215</v>
      </c>
      <c r="FQ11" t="s">
        <v>945</v>
      </c>
      <c r="FR11" t="s">
        <v>1730</v>
      </c>
      <c r="FS11" t="s">
        <v>1281</v>
      </c>
      <c r="FT11" t="s">
        <v>976</v>
      </c>
      <c r="FU11" t="s">
        <v>1093</v>
      </c>
      <c r="FV11" t="s">
        <v>1119</v>
      </c>
      <c r="FW11" t="s">
        <v>1195</v>
      </c>
      <c r="FX11" t="s">
        <v>1408</v>
      </c>
      <c r="FZ11" t="s">
        <v>1161</v>
      </c>
      <c r="GA11" t="s">
        <v>1554</v>
      </c>
      <c r="GB11" t="s">
        <v>1182</v>
      </c>
      <c r="GC11" t="s">
        <v>1889</v>
      </c>
      <c r="GD11" t="s">
        <v>1014</v>
      </c>
      <c r="GE11" t="s">
        <v>1091</v>
      </c>
      <c r="GF11" t="s">
        <v>1666</v>
      </c>
      <c r="GG11" t="s">
        <v>894</v>
      </c>
      <c r="GH11" t="s">
        <v>1191</v>
      </c>
      <c r="GI11" t="s">
        <v>1343</v>
      </c>
      <c r="GJ11" t="s">
        <v>1456</v>
      </c>
      <c r="GK11" t="s">
        <v>1162</v>
      </c>
      <c r="GL11" t="s">
        <v>931</v>
      </c>
      <c r="GM11" t="s">
        <v>1410</v>
      </c>
      <c r="GN11" t="s">
        <v>1890</v>
      </c>
      <c r="GO11" t="s">
        <v>1229</v>
      </c>
      <c r="GP11" t="s">
        <v>1891</v>
      </c>
      <c r="GQ11" t="s">
        <v>1342</v>
      </c>
      <c r="GR11" t="s">
        <v>1892</v>
      </c>
      <c r="GS11" t="s">
        <v>1893</v>
      </c>
      <c r="GT11" t="s">
        <v>1894</v>
      </c>
      <c r="GU11" t="s">
        <v>1895</v>
      </c>
      <c r="GV11" t="s">
        <v>1896</v>
      </c>
      <c r="GW11">
        <f>-399.1699--397.7966</f>
        <v>-1.373299999999972</v>
      </c>
      <c r="GX11">
        <f>-399.6277--398.0255</f>
        <v>-1.6021999999999821</v>
      </c>
      <c r="GY11">
        <f>-398.2544--397.11</f>
        <v>-1.1443999999999619</v>
      </c>
      <c r="GZ11">
        <f>-398.2544--397.11</f>
        <v>-1.1443999999999619</v>
      </c>
      <c r="HA11">
        <f>-400.3143--399.1699</f>
        <v>-1.1444000000000187</v>
      </c>
      <c r="HB11">
        <f>-398.7122--398.4833</f>
        <v>-0.2289000000000101</v>
      </c>
      <c r="HC11">
        <f>-397.7966--397.5677</f>
        <v>-0.2289000000000101</v>
      </c>
      <c r="HD11">
        <f>-398.941--398.4833</f>
        <v>-0.45769999999998845</v>
      </c>
      <c r="HE11">
        <f>-399.1699--398.4833</f>
        <v>-0.68659999999999854</v>
      </c>
      <c r="HF11">
        <f>-399.3988--398.2544</f>
        <v>-1.1444000000000187</v>
      </c>
      <c r="HG11">
        <f>-398.941--398.4833</f>
        <v>-0.45769999999998845</v>
      </c>
      <c r="HH11">
        <f>-398.941--398.7122</f>
        <v>-0.22879999999997835</v>
      </c>
      <c r="HI11">
        <f>-400.5432--398.941</f>
        <v>-1.6022000000000389</v>
      </c>
      <c r="HJ11">
        <f>-398.941--398.7122</f>
        <v>-0.22879999999997835</v>
      </c>
      <c r="HK11">
        <f>-376.7395--376.9684</f>
        <v>0.22889999999995325</v>
      </c>
      <c r="HL11">
        <f>-376.5106--376.0529</f>
        <v>-0.45769999999998845</v>
      </c>
      <c r="HM11">
        <f>-399.8566--399.6277</f>
        <v>-0.2289000000000101</v>
      </c>
      <c r="HN11">
        <f>-403.0609--402.1454</f>
        <v>-0.91550000000000864</v>
      </c>
      <c r="HP11">
        <f>-398.941--399.1699</f>
        <v>0.2289000000000101</v>
      </c>
      <c r="HR11">
        <f>-439.9109--439.2242</f>
        <v>-0.68670000000003029</v>
      </c>
      <c r="HS11">
        <f>-481.5674--481.3385</f>
        <v>-0.2289000000000101</v>
      </c>
      <c r="HT11">
        <f>-480.8807--479.9652</f>
        <v>-0.91550000000000864</v>
      </c>
      <c r="HU11">
        <f>-485.4584--484.314</f>
        <v>-1.1443999999999619</v>
      </c>
      <c r="HV11">
        <f>-399.1699--397.7966</f>
        <v>-1.373299999999972</v>
      </c>
      <c r="HW11">
        <f>-397.5677--396.4233</f>
        <v>-1.1444000000000187</v>
      </c>
      <c r="HX11">
        <f>-397.7966--395.9656</f>
        <v>-1.8310000000000173</v>
      </c>
      <c r="HY11">
        <f>-396.6522--395.9656</f>
        <v>-0.68659999999999854</v>
      </c>
      <c r="HZ11">
        <f>-396.1945--395.5078</f>
        <v>-0.68670000000003029</v>
      </c>
      <c r="IA11">
        <f>-397.3389--395.5078</f>
        <v>-1.831100000000049</v>
      </c>
      <c r="IB11">
        <f>-395.9656--395.5078</f>
        <v>-0.45780000000002019</v>
      </c>
      <c r="IC11">
        <f>-395.5078--395.7367</f>
        <v>0.2289000000000101</v>
      </c>
      <c r="ID11">
        <f>-397.7966--397.5677</f>
        <v>-0.2289000000000101</v>
      </c>
      <c r="IE11">
        <f>-403.2898--401.001</f>
        <v>-2.2888000000000375</v>
      </c>
      <c r="IF11">
        <f>-399.8566--398.7122</f>
        <v>-1.1444000000000187</v>
      </c>
      <c r="IG11">
        <f>-398.7122--397.7966</f>
        <v>-0.91559999999998354</v>
      </c>
      <c r="IH11">
        <f>-398.0255--397.7966</f>
        <v>-0.2289000000000101</v>
      </c>
      <c r="II11">
        <f>-398.0255--398.2544</f>
        <v>0.22889999999995325</v>
      </c>
      <c r="IJ11">
        <f>-398.7122--398.4833</f>
        <v>-0.2289000000000101</v>
      </c>
      <c r="IK11">
        <f>-397.7966--397.11</f>
        <v>-0.68659999999999854</v>
      </c>
      <c r="IL11">
        <f>-359.1156--357.2845</f>
        <v>-1.8310999999999922</v>
      </c>
      <c r="IM11">
        <f>-323.41--322.4945</f>
        <v>-0.91550000000000864</v>
      </c>
      <c r="IN11">
        <f>-401.4587--401.001</f>
        <v>-0.45770000000004529</v>
      </c>
      <c r="IO11">
        <f>-487.5183--487.2894</f>
        <v>-0.2289000000000101</v>
      </c>
      <c r="IP11">
        <f>-491.4093--490.4938</f>
        <v>-0.9154999999999518</v>
      </c>
      <c r="IQ11">
        <f>-398.941--398.0255</f>
        <v>-0.9154999999999518</v>
      </c>
      <c r="IR11">
        <f>-402.3743--400.7721</f>
        <v>-1.6021999999999821</v>
      </c>
      <c r="IS11">
        <f>-402.1454--401.4587</f>
        <v>-0.68669999999997344</v>
      </c>
      <c r="IT11">
        <f>-402.6031--402.3743</f>
        <v>-0.22879999999997835</v>
      </c>
      <c r="IU11">
        <f>-485.6873--484.7717</f>
        <v>-0.91559999999998354</v>
      </c>
      <c r="IV11">
        <f>-400.3143--399.8566</f>
        <v>-0.45769999999998845</v>
      </c>
      <c r="IW11">
        <f>-399.3988--398.7122</f>
        <v>-0.68659999999999854</v>
      </c>
      <c r="IX11">
        <f>-399.6277--399.1699</f>
        <v>-0.45780000000002019</v>
      </c>
      <c r="IY11">
        <f>-487.7472--486.6028</f>
        <v>-1.1444000000000187</v>
      </c>
      <c r="IZ11">
        <f>-487.9761--487.7472</f>
        <v>-0.22889999999995325</v>
      </c>
      <c r="JA11">
        <f>-482.9407--483.1696</f>
        <v>0.2289000000000101</v>
      </c>
      <c r="JB11">
        <f>-486.145--485.9161</f>
        <v>-0.2289000000000101</v>
      </c>
      <c r="JC11">
        <f>-405.1208--403.7476</f>
        <v>-1.3731999999999971</v>
      </c>
      <c r="JD11">
        <f>-388.4125--387.7258</f>
        <v>-0.68670000000003029</v>
      </c>
      <c r="JE11">
        <f>-393.4479--391.1591</f>
        <v>-2.2887999999999806</v>
      </c>
      <c r="JF11">
        <f>-392.7612--390.9302</f>
        <v>-1.8309999999999604</v>
      </c>
      <c r="JG11">
        <f>-392.0746--391.1591</f>
        <v>-0.9154999999999518</v>
      </c>
      <c r="JH11">
        <f>-395.7367--395.2789</f>
        <v>-0.45779999999996335</v>
      </c>
      <c r="JI11">
        <f>-392.3035--392.0746</f>
        <v>-0.2289000000000101</v>
      </c>
      <c r="JJ11">
        <f>-397.11--395.5078</f>
        <v>-1.6022000000000389</v>
      </c>
      <c r="JK11">
        <f>-396.8811--395.9656</f>
        <v>-0.91550000000000864</v>
      </c>
      <c r="JL11">
        <f>-393.9056--392.5323</f>
        <v>-1.373299999999972</v>
      </c>
      <c r="JN11">
        <f>-397.3389--396.1945</f>
        <v>-1.1444000000000187</v>
      </c>
      <c r="JO11">
        <f>-397.7966--396.6522</f>
        <v>-1.1444000000000187</v>
      </c>
      <c r="JP11">
        <f>-395.9656--395.5078</f>
        <v>-0.45780000000002019</v>
      </c>
      <c r="JQ11">
        <f>-396.6522--395.7367</f>
        <v>-0.91550000000000864</v>
      </c>
      <c r="JR11">
        <f>-397.3389--396.4233</f>
        <v>-0.91560000000004038</v>
      </c>
      <c r="JS11">
        <f>-398.2544--397.3389</f>
        <v>-0.9154999999999518</v>
      </c>
      <c r="JT11">
        <f>-399.6277--398.941</f>
        <v>-0.68670000000003029</v>
      </c>
      <c r="JU11">
        <f>-398.0255--397.5677</f>
        <v>-0.45780000000002019</v>
      </c>
      <c r="JX11">
        <f>-396.1945--395.9656</f>
        <v>-0.2289000000000101</v>
      </c>
      <c r="JY11">
        <f>-445.4041--444.9463</f>
        <v>-0.45780000000002019</v>
      </c>
      <c r="KA11">
        <f>-407.6385--407.4097</f>
        <v>-0.2288000000000352</v>
      </c>
      <c r="KC11">
        <f>-397.11--396.4233</f>
        <v>-0.68670000000003029</v>
      </c>
      <c r="KD11">
        <f>-399.3988--398.7122</f>
        <v>-0.68659999999999854</v>
      </c>
      <c r="KE11">
        <f>-375.5951--376.0529</f>
        <v>0.45780000000002019</v>
      </c>
      <c r="KG11">
        <f>-376.9684--377.4261</f>
        <v>0.45770000000004529</v>
      </c>
      <c r="KH11">
        <f>-377.8839--376.2817</f>
        <v>-1.6021999999999821</v>
      </c>
      <c r="KI11">
        <f>-375.5951--375.824</f>
        <v>0.2289000000000101</v>
      </c>
      <c r="KJ11">
        <f>-398.7122--397.7966</f>
        <v>-0.91559999999998354</v>
      </c>
      <c r="KK11">
        <f>-397.5677--397.11</f>
        <v>-0.45769999999998845</v>
      </c>
      <c r="KL11">
        <f>-397.5677--397.3389</f>
        <v>-0.22879999999997835</v>
      </c>
      <c r="KM11">
        <f>-399.3988--398.2544</f>
        <v>-1.1444000000000187</v>
      </c>
      <c r="KN11">
        <f>-397.5677--397.11</f>
        <v>-0.45769999999998845</v>
      </c>
      <c r="KO11">
        <f>-398.2544--396.1945</f>
        <v>-2.0598999999999705</v>
      </c>
      <c r="KP11">
        <f>-398.0255--397.5677</f>
        <v>-0.45780000000002019</v>
      </c>
      <c r="KQ11">
        <f>-401.2299--400.7721</f>
        <v>-0.45779999999996335</v>
      </c>
      <c r="KS11">
        <f>-399.6277--398.7122</f>
        <v>-0.91550000000000864</v>
      </c>
      <c r="KT11">
        <f>-400.7721--398.0255</f>
        <v>-2.7466000000000008</v>
      </c>
      <c r="KU11">
        <f>-401.001--399.6277</f>
        <v>-1.373299999999972</v>
      </c>
      <c r="KV11">
        <f>-400.5432--399.1699</f>
        <v>-1.3733000000000288</v>
      </c>
      <c r="KW11">
        <f>-399.8566--398.941</f>
        <v>-0.91560000000004038</v>
      </c>
      <c r="KY11">
        <f>-399.8566--398.4833</f>
        <v>-1.3733000000000288</v>
      </c>
      <c r="KZ11">
        <f>-400.0854--399.3988</f>
        <v>-0.68659999999999854</v>
      </c>
      <c r="LA11">
        <f>-400.0854--398.941</f>
        <v>-1.1444000000000187</v>
      </c>
      <c r="LB11">
        <f>-397.7966--398.0255</f>
        <v>0.2289000000000101</v>
      </c>
      <c r="LC11">
        <f>-401.001--399.1699</f>
        <v>-1.8310999999999922</v>
      </c>
      <c r="LD11">
        <f>-399.8566--398.941</f>
        <v>-0.91560000000004038</v>
      </c>
      <c r="LE11">
        <f>-377.4261--375.3662</f>
        <v>-2.0599000000000274</v>
      </c>
      <c r="LF11">
        <f>-376.5106--376.7395</f>
        <v>0.2289000000000101</v>
      </c>
      <c r="LG11">
        <f>-402.6031--402.1454</f>
        <v>-0.45769999999998845</v>
      </c>
      <c r="LH11">
        <f>-401.6876--400.7721</f>
        <v>-0.9154999999999518</v>
      </c>
      <c r="LI11">
        <f>-401.9165--401.6876</f>
        <v>-0.2289000000000101</v>
      </c>
      <c r="LJ11">
        <f>-399.6277--398.4833</f>
        <v>-1.1444000000000187</v>
      </c>
      <c r="LK11">
        <f>-398.7122--399.1699</f>
        <v>0.45769999999998845</v>
      </c>
      <c r="LL11">
        <f>-400.0854--398.7122</f>
        <v>-1.3731999999999971</v>
      </c>
      <c r="LM11">
        <f>-401.6876--400.7721</f>
        <v>-0.9154999999999518</v>
      </c>
      <c r="LN11">
        <f>-392.9901--392.7612</f>
        <v>-0.2289000000000101</v>
      </c>
      <c r="LO11">
        <f>-474.0143--474.472</f>
        <v>0.45769999999998845</v>
      </c>
      <c r="LP11">
        <f>-481.7963--481.3385</f>
        <v>-0.45779999999996335</v>
      </c>
      <c r="LQ11">
        <f>-481.3385--481.1096</f>
        <v>-0.2289000000000101</v>
      </c>
      <c r="LR11">
        <f>-396.8811--395.05</f>
        <v>-1.8310999999999922</v>
      </c>
      <c r="LS11">
        <f>-396.6522--394.5923</f>
        <v>-2.0598999999999705</v>
      </c>
      <c r="LU11">
        <f>-395.2789--393.9056</f>
        <v>-1.3733000000000288</v>
      </c>
      <c r="LV11">
        <f>-396.6522--395.7367</f>
        <v>-0.91550000000000864</v>
      </c>
      <c r="LW11">
        <f>-396.8811--396.1945</f>
        <v>-0.68659999999999854</v>
      </c>
      <c r="LX11">
        <f>-396.1945--395.5078</f>
        <v>-0.68670000000003029</v>
      </c>
      <c r="LY11">
        <f>-398.4833--397.5677</f>
        <v>-0.91559999999998354</v>
      </c>
      <c r="LZ11">
        <f>-395.9656--395.5078</f>
        <v>-0.45780000000002019</v>
      </c>
      <c r="MA11">
        <f>-400.3143--399.8566</f>
        <v>-0.45769999999998845</v>
      </c>
      <c r="MB11">
        <f>-393.9056--394.1345</f>
        <v>0.2289000000000101</v>
      </c>
      <c r="MC11">
        <f>-399.6277--398.941</f>
        <v>-0.68670000000003029</v>
      </c>
      <c r="MD11">
        <f>-398.7122--398.2544</f>
        <v>-0.45780000000002019</v>
      </c>
      <c r="ME11">
        <f>-400.0854--399.1699</f>
        <v>-0.91550000000000864</v>
      </c>
      <c r="MF11">
        <f>-400.7721--399.3988</f>
        <v>-1.3733000000000288</v>
      </c>
      <c r="MG11">
        <f>-412.9028--413.1317</f>
        <v>0.2289000000000101</v>
      </c>
      <c r="MH11">
        <f>-411.9873--411.5295</f>
        <v>-0.45780000000002019</v>
      </c>
      <c r="MI11">
        <f>-400.0854--399.8566</f>
        <v>-0.22879999999997835</v>
      </c>
      <c r="MJ11">
        <f>-398.7122--398.4833</f>
        <v>-0.2289000000000101</v>
      </c>
      <c r="MK11">
        <f>-401.001--401.6876</f>
        <v>0.68659999999999854</v>
      </c>
      <c r="ML11">
        <f>-354.538--353.3936</f>
        <v>-1.1444000000000187</v>
      </c>
      <c r="MM11">
        <f>-319.7479--318.6035</f>
        <v>-1.1444000000000187</v>
      </c>
      <c r="MN11">
        <f>-478.8208--477.2186</f>
        <v>-1.6022000000000389</v>
      </c>
      <c r="MO11">
        <f>-488.4338--487.7472</f>
        <v>-0.68659999999999854</v>
      </c>
      <c r="MP11">
        <f>-396.6522--395.7367</f>
        <v>-0.91550000000000864</v>
      </c>
      <c r="MR11">
        <f>-487.2894--487.0605</f>
        <v>-0.2289000000000101</v>
      </c>
      <c r="MS11">
        <f>-490.4938--489.8071</f>
        <v>-0.68670000000003029</v>
      </c>
      <c r="MU11">
        <f>-401.4587--401.9165</f>
        <v>0.45779999999996335</v>
      </c>
      <c r="MV11">
        <f>-406.0364--405.8075</f>
        <v>-0.2289000000000101</v>
      </c>
      <c r="MW11">
        <f>-400.7721--400.3143</f>
        <v>-0.45780000000002019</v>
      </c>
      <c r="MX11">
        <f>-491.6382--490.9515</f>
        <v>-0.68669999999997344</v>
      </c>
      <c r="MY11">
        <f>-492.0959--491.4093</f>
        <v>-0.68659999999999854</v>
      </c>
      <c r="MZ11">
        <f>-486.3739--484.7717</f>
        <v>-1.6021999999999821</v>
      </c>
      <c r="NA11">
        <f>-463.2568--462.7991</f>
        <v>-0.45769999999998845</v>
      </c>
      <c r="NB11">
        <f>-389.5569--388.1836</f>
        <v>-1.373299999999972</v>
      </c>
      <c r="NC11">
        <f>-393.6768--392.3035</f>
        <v>-1.3733000000000288</v>
      </c>
      <c r="ND11">
        <f>-392.5323--391.1591</f>
        <v>-1.3731999999999971</v>
      </c>
      <c r="NE11">
        <f>-392.7612--391.8457</f>
        <v>-0.9154999999999518</v>
      </c>
      <c r="NF11">
        <f>-393.9056--392.9901</f>
        <v>-0.91550000000000864</v>
      </c>
      <c r="NG11">
        <f>-392.3035--391.1591</f>
        <v>-1.1443999999999619</v>
      </c>
      <c r="NH11">
        <f>-397.11--396.4233</f>
        <v>-0.68670000000003029</v>
      </c>
      <c r="NI11">
        <f>-392.5323--392.3035</f>
        <v>-0.2288000000000352</v>
      </c>
      <c r="NJ11">
        <f>-399.3988--397.5677</f>
        <v>-1.8310999999999922</v>
      </c>
      <c r="NK11">
        <f>-392.9901--392.5323</f>
        <v>-0.45779999999996335</v>
      </c>
      <c r="NL11">
        <f>-393.6768--392.7612</f>
        <v>-0.91560000000004038</v>
      </c>
      <c r="NM11">
        <f>-398.0255--397.3389</f>
        <v>-0.68659999999999854</v>
      </c>
      <c r="NN11">
        <f>-392.9901--392.5323</f>
        <v>-0.45779999999996335</v>
      </c>
      <c r="NO11">
        <f>-397.5677--396.8811</f>
        <v>-0.68659999999999854</v>
      </c>
      <c r="NP11">
        <f>-397.5677--396.1945</f>
        <v>-1.3731999999999971</v>
      </c>
      <c r="NQ11">
        <f>-399.3988--399.1699</f>
        <v>-0.2289000000000101</v>
      </c>
      <c r="NR11">
        <f>-398.0255--398.2544</f>
        <v>0.22889999999995325</v>
      </c>
      <c r="NS11">
        <f>-400.3143--399.6277</f>
        <v>-0.68659999999999854</v>
      </c>
      <c r="NT11">
        <f>-398.7122--397.7966</f>
        <v>-0.91559999999998354</v>
      </c>
      <c r="NW11">
        <f>-406.2653--406.0364</f>
        <v>-0.2289000000000101</v>
      </c>
      <c r="NX11">
        <f>-396.6522--396.4233</f>
        <v>-0.2289000000000101</v>
      </c>
      <c r="NY11">
        <f>-400.5432--400.0854</f>
        <v>-0.45780000000002019</v>
      </c>
      <c r="NZ11">
        <f>-396.8811--397.11</f>
        <v>0.2289000000000101</v>
      </c>
      <c r="OA11">
        <f>-398.4833--398.2544</f>
        <v>-0.2289000000000101</v>
      </c>
      <c r="OB11">
        <f>-374.9084--374.4507</f>
        <v>-0.45769999999998845</v>
      </c>
      <c r="OC11">
        <f>-400.0854--399.6277</f>
        <v>-0.45769999999998845</v>
      </c>
      <c r="OE11">
        <f>-375.824--376.0529</f>
        <v>0.2289000000000101</v>
      </c>
      <c r="OF11">
        <f>-376.0529--375.5951</f>
        <v>-0.45780000000002019</v>
      </c>
      <c r="OG11">
        <f>-400.0854--399.3988</f>
        <v>-0.68659999999999854</v>
      </c>
      <c r="OI11">
        <f>-399.1699--398.2544</f>
        <v>-0.91550000000000864</v>
      </c>
      <c r="OK11">
        <f>-396.4233--396.1945</f>
        <v>-0.22879999999997835</v>
      </c>
      <c r="OL11">
        <f>-397.11--396.8811</f>
        <v>-0.2289000000000101</v>
      </c>
      <c r="OM11">
        <f>-399.1699--398.941</f>
        <v>-0.2289000000000101</v>
      </c>
      <c r="ON11">
        <f>-399.3988--398.2544</f>
        <v>-1.1444000000000187</v>
      </c>
      <c r="OO11">
        <f>-403.2898--402.3743</f>
        <v>-0.91550000000000864</v>
      </c>
      <c r="QE11">
        <v>-1</v>
      </c>
      <c r="QF11">
        <v>-1</v>
      </c>
      <c r="QG11">
        <v>-1</v>
      </c>
      <c r="QH11">
        <v>-1</v>
      </c>
      <c r="QI11">
        <v>-1</v>
      </c>
      <c r="QJ11">
        <v>-1</v>
      </c>
      <c r="QK11">
        <v>-1</v>
      </c>
      <c r="QL11">
        <v>-1</v>
      </c>
    </row>
    <row r="12" spans="1:454" x14ac:dyDescent="0.25">
      <c r="A12" t="s">
        <v>1897</v>
      </c>
      <c r="B12" t="s">
        <v>1019</v>
      </c>
      <c r="C12" t="s">
        <v>1460</v>
      </c>
      <c r="D12" t="s">
        <v>998</v>
      </c>
      <c r="E12" t="s">
        <v>1500</v>
      </c>
      <c r="F12" t="s">
        <v>1376</v>
      </c>
      <c r="G12" t="s">
        <v>874</v>
      </c>
      <c r="H12" t="s">
        <v>1898</v>
      </c>
      <c r="I12" t="s">
        <v>1899</v>
      </c>
      <c r="J12" t="s">
        <v>1900</v>
      </c>
      <c r="K12" t="s">
        <v>1901</v>
      </c>
      <c r="L12" t="s">
        <v>1902</v>
      </c>
      <c r="M12" t="s">
        <v>1903</v>
      </c>
      <c r="N12" t="s">
        <v>1904</v>
      </c>
      <c r="O12" t="s">
        <v>1372</v>
      </c>
      <c r="P12" t="s">
        <v>1905</v>
      </c>
      <c r="Q12" t="s">
        <v>1631</v>
      </c>
      <c r="R12" t="s">
        <v>1210</v>
      </c>
      <c r="S12" t="s">
        <v>1182</v>
      </c>
      <c r="T12" t="s">
        <v>1529</v>
      </c>
      <c r="U12" t="s">
        <v>1445</v>
      </c>
      <c r="V12" t="s">
        <v>1906</v>
      </c>
      <c r="W12" t="s">
        <v>1343</v>
      </c>
      <c r="X12" t="s">
        <v>1907</v>
      </c>
      <c r="Y12" t="s">
        <v>1908</v>
      </c>
      <c r="Z12" t="s">
        <v>1185</v>
      </c>
      <c r="AA12" t="s">
        <v>1909</v>
      </c>
      <c r="AB12" t="s">
        <v>1910</v>
      </c>
      <c r="AC12" t="s">
        <v>1911</v>
      </c>
      <c r="AD12" t="s">
        <v>1912</v>
      </c>
      <c r="AE12" t="s">
        <v>1355</v>
      </c>
      <c r="AF12" t="s">
        <v>1913</v>
      </c>
      <c r="AG12" t="s">
        <v>1914</v>
      </c>
      <c r="AH12" t="s">
        <v>931</v>
      </c>
      <c r="AI12" t="s">
        <v>1310</v>
      </c>
      <c r="AJ12" t="s">
        <v>1631</v>
      </c>
      <c r="AK12" t="s">
        <v>1915</v>
      </c>
      <c r="AL12" t="s">
        <v>1409</v>
      </c>
      <c r="AM12" t="s">
        <v>1273</v>
      </c>
      <c r="AN12" t="s">
        <v>1807</v>
      </c>
      <c r="AO12" t="s">
        <v>1544</v>
      </c>
      <c r="AP12" t="s">
        <v>1852</v>
      </c>
      <c r="AQ12" t="s">
        <v>1916</v>
      </c>
      <c r="AR12" t="s">
        <v>1917</v>
      </c>
      <c r="AS12" t="s">
        <v>1918</v>
      </c>
      <c r="AT12" t="s">
        <v>1030</v>
      </c>
      <c r="AU12" t="s">
        <v>1919</v>
      </c>
      <c r="AV12" t="s">
        <v>1725</v>
      </c>
      <c r="AW12" t="s">
        <v>1146</v>
      </c>
      <c r="AX12" t="s">
        <v>1027</v>
      </c>
      <c r="AY12" t="s">
        <v>1322</v>
      </c>
      <c r="AZ12" t="s">
        <v>1326</v>
      </c>
      <c r="BA12" t="s">
        <v>1920</v>
      </c>
      <c r="BB12" t="s">
        <v>986</v>
      </c>
      <c r="BC12" t="s">
        <v>1921</v>
      </c>
      <c r="BD12" t="s">
        <v>971</v>
      </c>
      <c r="BE12" t="s">
        <v>1922</v>
      </c>
      <c r="BF12" t="s">
        <v>1923</v>
      </c>
      <c r="BG12" t="s">
        <v>1924</v>
      </c>
      <c r="BH12" t="s">
        <v>1204</v>
      </c>
      <c r="BI12" t="s">
        <v>1925</v>
      </c>
      <c r="BJ12" t="s">
        <v>1926</v>
      </c>
      <c r="BK12" t="s">
        <v>1927</v>
      </c>
      <c r="BL12" t="s">
        <v>1452</v>
      </c>
      <c r="BM12" t="s">
        <v>1656</v>
      </c>
      <c r="BN12" t="s">
        <v>1657</v>
      </c>
      <c r="BO12" t="s">
        <v>1122</v>
      </c>
      <c r="BP12" t="s">
        <v>1156</v>
      </c>
      <c r="BQ12" t="s">
        <v>1506</v>
      </c>
      <c r="BR12" t="s">
        <v>1511</v>
      </c>
      <c r="BS12" t="s">
        <v>1162</v>
      </c>
      <c r="BT12" t="s">
        <v>1928</v>
      </c>
      <c r="BU12" t="s">
        <v>1283</v>
      </c>
      <c r="BV12" t="s">
        <v>1283</v>
      </c>
      <c r="BW12" t="s">
        <v>1929</v>
      </c>
      <c r="BZ12" t="s">
        <v>1437</v>
      </c>
      <c r="CA12" t="s">
        <v>1930</v>
      </c>
      <c r="CB12" t="s">
        <v>1527</v>
      </c>
      <c r="CC12" t="s">
        <v>1156</v>
      </c>
      <c r="CD12" t="s">
        <v>1276</v>
      </c>
      <c r="CE12" t="s">
        <v>1931</v>
      </c>
      <c r="CF12" t="s">
        <v>1660</v>
      </c>
      <c r="CG12" t="s">
        <v>1327</v>
      </c>
      <c r="CH12" t="s">
        <v>1649</v>
      </c>
      <c r="CI12" t="s">
        <v>1085</v>
      </c>
      <c r="CJ12" t="s">
        <v>1520</v>
      </c>
      <c r="CK12" t="s">
        <v>1932</v>
      </c>
      <c r="CL12" t="s">
        <v>1430</v>
      </c>
      <c r="CM12" t="s">
        <v>1564</v>
      </c>
      <c r="CN12" t="s">
        <v>880</v>
      </c>
      <c r="CO12" t="s">
        <v>1600</v>
      </c>
      <c r="CP12" t="s">
        <v>1255</v>
      </c>
      <c r="CQ12" t="s">
        <v>1933</v>
      </c>
      <c r="CR12" t="s">
        <v>1934</v>
      </c>
      <c r="CS12" t="s">
        <v>1935</v>
      </c>
      <c r="CT12" t="s">
        <v>1403</v>
      </c>
      <c r="CU12" t="s">
        <v>1936</v>
      </c>
      <c r="CV12" t="s">
        <v>1937</v>
      </c>
      <c r="CW12" t="s">
        <v>1938</v>
      </c>
      <c r="CX12" t="s">
        <v>1181</v>
      </c>
      <c r="CY12" t="s">
        <v>880</v>
      </c>
      <c r="CZ12" t="s">
        <v>1636</v>
      </c>
      <c r="DA12" t="s">
        <v>1428</v>
      </c>
      <c r="DB12" t="s">
        <v>1939</v>
      </c>
      <c r="DC12" t="s">
        <v>1872</v>
      </c>
      <c r="DD12" t="s">
        <v>1940</v>
      </c>
      <c r="DE12" t="s">
        <v>1941</v>
      </c>
      <c r="DF12" t="s">
        <v>1942</v>
      </c>
      <c r="DG12" t="s">
        <v>1482</v>
      </c>
      <c r="DH12" t="s">
        <v>1943</v>
      </c>
      <c r="DI12" t="s">
        <v>1944</v>
      </c>
      <c r="DJ12" t="s">
        <v>1095</v>
      </c>
      <c r="DK12" t="s">
        <v>1225</v>
      </c>
      <c r="DL12" t="s">
        <v>1219</v>
      </c>
      <c r="DM12" t="s">
        <v>1553</v>
      </c>
      <c r="DN12" t="s">
        <v>1436</v>
      </c>
      <c r="DO12" t="s">
        <v>1945</v>
      </c>
      <c r="DP12" t="s">
        <v>1431</v>
      </c>
      <c r="DQ12" t="s">
        <v>1686</v>
      </c>
      <c r="DR12" t="s">
        <v>1946</v>
      </c>
      <c r="DS12" t="s">
        <v>1947</v>
      </c>
      <c r="DT12" t="s">
        <v>1027</v>
      </c>
      <c r="DU12" t="s">
        <v>1948</v>
      </c>
      <c r="DV12" t="s">
        <v>1307</v>
      </c>
      <c r="DW12" t="s">
        <v>1949</v>
      </c>
      <c r="DX12" t="s">
        <v>1414</v>
      </c>
      <c r="DZ12" t="s">
        <v>1025</v>
      </c>
      <c r="EA12" t="s">
        <v>1930</v>
      </c>
      <c r="EB12" t="s">
        <v>1807</v>
      </c>
      <c r="EC12" t="s">
        <v>1809</v>
      </c>
      <c r="ED12" t="s">
        <v>1360</v>
      </c>
      <c r="EE12" t="s">
        <v>935</v>
      </c>
      <c r="EF12" t="s">
        <v>1950</v>
      </c>
      <c r="EG12" t="s">
        <v>1951</v>
      </c>
      <c r="EH12" t="s">
        <v>1479</v>
      </c>
      <c r="EJ12" t="s">
        <v>1250</v>
      </c>
      <c r="EK12" t="s">
        <v>1161</v>
      </c>
      <c r="EL12" t="s">
        <v>1100</v>
      </c>
      <c r="EM12" t="s">
        <v>1952</v>
      </c>
      <c r="EN12" t="s">
        <v>1299</v>
      </c>
      <c r="EP12" t="s">
        <v>1008</v>
      </c>
      <c r="EQ12" t="s">
        <v>1953</v>
      </c>
      <c r="ES12" t="s">
        <v>1954</v>
      </c>
      <c r="ET12" t="s">
        <v>1434</v>
      </c>
      <c r="EU12" t="s">
        <v>1955</v>
      </c>
      <c r="EV12" t="s">
        <v>1723</v>
      </c>
      <c r="EW12" t="s">
        <v>1956</v>
      </c>
      <c r="EX12" t="s">
        <v>1040</v>
      </c>
      <c r="EY12" t="s">
        <v>1957</v>
      </c>
      <c r="EZ12" t="s">
        <v>1082</v>
      </c>
      <c r="FA12" t="s">
        <v>1845</v>
      </c>
      <c r="FB12" t="s">
        <v>1958</v>
      </c>
      <c r="FC12" t="s">
        <v>1959</v>
      </c>
      <c r="FD12" t="s">
        <v>1960</v>
      </c>
      <c r="FE12" t="s">
        <v>1961</v>
      </c>
      <c r="FF12" t="s">
        <v>1962</v>
      </c>
      <c r="FG12" t="s">
        <v>1963</v>
      </c>
      <c r="FH12" t="s">
        <v>1013</v>
      </c>
      <c r="FI12" t="s">
        <v>1498</v>
      </c>
      <c r="FJ12" t="s">
        <v>1013</v>
      </c>
      <c r="FK12" t="s">
        <v>1964</v>
      </c>
      <c r="FL12" t="s">
        <v>1159</v>
      </c>
      <c r="FM12" t="s">
        <v>1440</v>
      </c>
      <c r="FN12" t="s">
        <v>1965</v>
      </c>
      <c r="FO12" t="s">
        <v>1600</v>
      </c>
      <c r="FP12" t="s">
        <v>1627</v>
      </c>
      <c r="FQ12" t="s">
        <v>1448</v>
      </c>
      <c r="FR12" t="s">
        <v>1966</v>
      </c>
      <c r="FS12" t="s">
        <v>1739</v>
      </c>
      <c r="FT12" t="s">
        <v>1967</v>
      </c>
      <c r="FV12" t="s">
        <v>1577</v>
      </c>
      <c r="FW12" t="s">
        <v>1968</v>
      </c>
      <c r="FX12" t="s">
        <v>1310</v>
      </c>
      <c r="FZ12" t="s">
        <v>1462</v>
      </c>
      <c r="GA12" t="s">
        <v>1188</v>
      </c>
      <c r="GC12" t="s">
        <v>1969</v>
      </c>
      <c r="GD12" t="s">
        <v>1970</v>
      </c>
      <c r="GE12" t="s">
        <v>947</v>
      </c>
      <c r="GF12" t="s">
        <v>1664</v>
      </c>
      <c r="GG12" t="s">
        <v>1164</v>
      </c>
      <c r="GH12" t="s">
        <v>1274</v>
      </c>
      <c r="GI12" t="s">
        <v>1971</v>
      </c>
      <c r="GJ12" t="s">
        <v>1972</v>
      </c>
      <c r="GK12" t="s">
        <v>1973</v>
      </c>
      <c r="GL12" t="s">
        <v>1274</v>
      </c>
      <c r="GN12" t="s">
        <v>1974</v>
      </c>
      <c r="GO12" t="s">
        <v>1975</v>
      </c>
      <c r="GP12" t="s">
        <v>1976</v>
      </c>
      <c r="GQ12" t="s">
        <v>1518</v>
      </c>
      <c r="GS12" t="s">
        <v>1667</v>
      </c>
      <c r="GT12" t="s">
        <v>1977</v>
      </c>
      <c r="GU12" t="s">
        <v>1978</v>
      </c>
      <c r="GY12">
        <f>-398.2544--399.3988</f>
        <v>1.1444000000000187</v>
      </c>
      <c r="GZ12">
        <f>-399.3988--398.7122</f>
        <v>-0.68659999999999854</v>
      </c>
      <c r="HA12">
        <f>-398.0255--396.6522</f>
        <v>-1.3733000000000288</v>
      </c>
      <c r="HB12">
        <f>-399.3988--396.8811</f>
        <v>-2.5176999999999907</v>
      </c>
      <c r="HC12">
        <f>-397.5677--397.11</f>
        <v>-0.45769999999998845</v>
      </c>
      <c r="HD12">
        <f>-399.8566--400.3143</f>
        <v>0.45769999999998845</v>
      </c>
      <c r="HE12">
        <f>-400.0854--399.1699</f>
        <v>-0.91550000000000864</v>
      </c>
      <c r="HF12">
        <f>-398.2544--397.7966</f>
        <v>-0.45779999999996335</v>
      </c>
      <c r="HH12">
        <f>-401.2299--403.5187</f>
        <v>2.2888000000000375</v>
      </c>
      <c r="HI12">
        <f>-399.8566--400.7721</f>
        <v>0.91550000000000864</v>
      </c>
      <c r="HJ12">
        <f>-401.9165--402.832</f>
        <v>0.91550000000000864</v>
      </c>
      <c r="HK12">
        <f>-375.824--376.7395</f>
        <v>0.91550000000000864</v>
      </c>
      <c r="HL12">
        <f>-376.7395--376.0529</f>
        <v>-0.68659999999999854</v>
      </c>
      <c r="HN12">
        <f>-398.941--399.6277</f>
        <v>0.68670000000003029</v>
      </c>
      <c r="HO12">
        <f>-398.7122--398.2544</f>
        <v>-0.45780000000002019</v>
      </c>
      <c r="HP12">
        <f>-397.5677--398.7122</f>
        <v>1.1444999999999936</v>
      </c>
      <c r="HQ12">
        <f>-398.4833--397.5677</f>
        <v>-0.91559999999998354</v>
      </c>
      <c r="HR12">
        <f>-438.0798--437.6221</f>
        <v>-0.45769999999998845</v>
      </c>
      <c r="HS12">
        <f>-484.0851--482.7118</f>
        <v>-1.3733000000000288</v>
      </c>
      <c r="HT12">
        <f>-482.9407--482.7118</f>
        <v>-0.2289000000000101</v>
      </c>
      <c r="HV12">
        <f>-397.11--395.9656</f>
        <v>-1.1444000000000187</v>
      </c>
      <c r="HW12">
        <f>-398.2544--397.5677</f>
        <v>-0.68669999999997344</v>
      </c>
      <c r="HX12">
        <f>-397.3389--395.7367</f>
        <v>-1.6022000000000389</v>
      </c>
      <c r="HY12">
        <f>-395.9656--395.7367</f>
        <v>-0.2289000000000101</v>
      </c>
      <c r="HZ12">
        <f>-395.05--396.1945</f>
        <v>1.1444999999999936</v>
      </c>
      <c r="IA12">
        <f>-396.1945--395.9656</f>
        <v>-0.2289000000000101</v>
      </c>
      <c r="IB12">
        <f>-394.8212--394.3634</f>
        <v>-0.45779999999996335</v>
      </c>
      <c r="IC12">
        <f>-396.1945--395.5078</f>
        <v>-0.68670000000003029</v>
      </c>
      <c r="IE12">
        <f>-402.3743--400.7721</f>
        <v>-1.6021999999999821</v>
      </c>
      <c r="IF12">
        <f>-398.2544--398.0255</f>
        <v>-0.22889999999995325</v>
      </c>
      <c r="IG12">
        <f>-398.7122--398.0255</f>
        <v>-0.68669999999997344</v>
      </c>
      <c r="IH12">
        <f>-398.7122--398.2544</f>
        <v>-0.45780000000002019</v>
      </c>
      <c r="II12">
        <f>-398.2544--398.4833</f>
        <v>0.2289000000000101</v>
      </c>
      <c r="IK12">
        <f>-398.4833--399.1699</f>
        <v>0.68659999999999854</v>
      </c>
      <c r="IL12">
        <f>-359.3445--359.8022</f>
        <v>0.45770000000004529</v>
      </c>
      <c r="IM12">
        <f>-325.0122--324.7833</f>
        <v>-0.2289000000000101</v>
      </c>
      <c r="IN12">
        <f>-407.6385--407.4097</f>
        <v>-0.2288000000000352</v>
      </c>
      <c r="IO12">
        <f>-487.9761--487.2894</f>
        <v>-0.68669999999997344</v>
      </c>
      <c r="IP12">
        <f>-490.7227--491.1804</f>
        <v>0.45770000000004529</v>
      </c>
      <c r="IQ12">
        <f>-397.5677--397.3389</f>
        <v>-0.22879999999997835</v>
      </c>
      <c r="IS12">
        <f>-399.3988--399.6277</f>
        <v>0.2289000000000101</v>
      </c>
      <c r="IU12">
        <f>-483.8562--482.7118</f>
        <v>-1.1444000000000187</v>
      </c>
      <c r="IV12">
        <f>-399.8566--399.6277</f>
        <v>-0.2289000000000101</v>
      </c>
      <c r="IW12">
        <f>-397.11--397.3389</f>
        <v>0.2289000000000101</v>
      </c>
      <c r="IX12">
        <f>-397.3389--397.5677</f>
        <v>0.22879999999997835</v>
      </c>
      <c r="IY12">
        <f>-487.7472--488.4338</f>
        <v>0.68659999999999854</v>
      </c>
      <c r="IZ12">
        <f>-487.5183--488.205</f>
        <v>0.68669999999997344</v>
      </c>
      <c r="JA12">
        <f>-486.8317--487.2894</f>
        <v>0.45769999999998845</v>
      </c>
      <c r="JB12">
        <f>-483.1696--482.9407</f>
        <v>-0.2289000000000101</v>
      </c>
      <c r="JC12">
        <f>-398.7122--398.2544</f>
        <v>-0.45780000000002019</v>
      </c>
      <c r="JD12">
        <f>-388.4125--390.0146</f>
        <v>1.6020999999999503</v>
      </c>
      <c r="JE12">
        <f>-394.1345--394.3634</f>
        <v>0.2289000000000101</v>
      </c>
      <c r="JF12">
        <f>-393.6768--393.219</f>
        <v>-0.45780000000002019</v>
      </c>
      <c r="JG12">
        <f>-392.5323--391.8457</f>
        <v>-0.68659999999999854</v>
      </c>
      <c r="JH12">
        <f>-399.1699--399.3988</f>
        <v>0.2289000000000101</v>
      </c>
      <c r="JI12">
        <f>-392.5323--393.219</f>
        <v>0.68669999999997344</v>
      </c>
      <c r="JJ12">
        <f>-397.3389--397.5677</f>
        <v>0.22879999999997835</v>
      </c>
      <c r="JK12">
        <f>-399.3988--398.941</f>
        <v>-0.45780000000002019</v>
      </c>
      <c r="JL12">
        <f>-393.6768--393.219</f>
        <v>-0.45780000000002019</v>
      </c>
      <c r="JM12">
        <f>-397.11--396.6522</f>
        <v>-0.45780000000002019</v>
      </c>
      <c r="JN12">
        <f>-400.3143--400.5432</f>
        <v>0.2289000000000101</v>
      </c>
      <c r="JO12">
        <f>-396.8811--395.5078</f>
        <v>-1.3733000000000288</v>
      </c>
      <c r="JP12">
        <f>-398.0255--397.11</f>
        <v>-0.91550000000000864</v>
      </c>
      <c r="JR12">
        <f>-396.6522--396.4233</f>
        <v>-0.2289000000000101</v>
      </c>
      <c r="JS12">
        <f>-398.4833--398.2544</f>
        <v>-0.2289000000000101</v>
      </c>
      <c r="JT12">
        <f>-397.7966--398.4833</f>
        <v>0.68669999999997344</v>
      </c>
      <c r="JU12">
        <f>-397.7966--396.4233</f>
        <v>-1.3733000000000288</v>
      </c>
      <c r="JV12">
        <f>-397.11--397.5677</f>
        <v>0.45769999999998845</v>
      </c>
      <c r="JW12">
        <f>-395.7367--396.6522</f>
        <v>0.91550000000000864</v>
      </c>
      <c r="JX12">
        <f>-395.5078--394.3634</f>
        <v>-1.1443999999999619</v>
      </c>
      <c r="JY12">
        <f>-442.1997--440.8264</f>
        <v>-1.3733000000000288</v>
      </c>
      <c r="JZ12">
        <f>-396.8811--396.4233</f>
        <v>-0.45780000000002019</v>
      </c>
      <c r="KA12">
        <f>-410.3851--411.7584</f>
        <v>1.373299999999972</v>
      </c>
      <c r="KB12">
        <f>-398.0255--397.11</f>
        <v>-0.91550000000000864</v>
      </c>
      <c r="KC12">
        <f>-399.8566--398.941</f>
        <v>-0.91560000000004038</v>
      </c>
      <c r="KD12">
        <f>-400.0854--398.941</f>
        <v>-1.1444000000000187</v>
      </c>
      <c r="KE12">
        <f>-374.6796--376.2817</f>
        <v>1.6021000000000072</v>
      </c>
      <c r="KF12">
        <f>-401.001--400.7721</f>
        <v>-0.22889999999995325</v>
      </c>
      <c r="KG12">
        <f>-375.3662--376.0529</f>
        <v>0.68670000000003029</v>
      </c>
      <c r="KH12">
        <f>-378.1128--377.8839</f>
        <v>-0.2289000000000101</v>
      </c>
      <c r="KI12">
        <f>-376.2817--375.5951</f>
        <v>-0.68659999999999854</v>
      </c>
      <c r="KJ12">
        <f>-398.7122--398.2544</f>
        <v>-0.45780000000002019</v>
      </c>
      <c r="KK12">
        <f>-398.0255--397.11</f>
        <v>-0.91550000000000864</v>
      </c>
      <c r="KM12">
        <f>-395.2789--394.8212</f>
        <v>-0.45770000000004529</v>
      </c>
      <c r="KN12">
        <f>-396.4233--395.9656</f>
        <v>-0.45769999999998845</v>
      </c>
      <c r="KO12">
        <f>-399.3988--396.4233</f>
        <v>-2.9755000000000109</v>
      </c>
      <c r="KP12">
        <f>-398.0255--424.8047</f>
        <v>26.779200000000003</v>
      </c>
      <c r="KQ12">
        <f>-404.4342--406.9519</f>
        <v>2.5177000000000476</v>
      </c>
      <c r="KR12">
        <f>-398.7122--398.0255</f>
        <v>-0.68669999999997344</v>
      </c>
      <c r="KS12">
        <f>-397.7966--396.8811</f>
        <v>-0.91550000000000864</v>
      </c>
      <c r="KT12">
        <f>-402.1454--401.001</f>
        <v>-1.1444000000000187</v>
      </c>
      <c r="KU12">
        <f>-401.4587--398.7122</f>
        <v>-2.7465000000000259</v>
      </c>
      <c r="KV12">
        <f>-402.1454--400.5432</f>
        <v>-1.6021999999999821</v>
      </c>
      <c r="KW12">
        <f>-399.8566--398.2544</f>
        <v>-1.6022000000000389</v>
      </c>
      <c r="KX12">
        <f>-399.3988--398.4833</f>
        <v>-0.91550000000000864</v>
      </c>
      <c r="KY12">
        <f>-402.1454--401.6876</f>
        <v>-0.45780000000002019</v>
      </c>
      <c r="KZ12">
        <f>-397.7966--398.2544</f>
        <v>0.45779999999996335</v>
      </c>
      <c r="LA12">
        <f>-400.5432--399.1699</f>
        <v>-1.3733000000000288</v>
      </c>
      <c r="LB12">
        <f>-399.8566--399.3988</f>
        <v>-0.45780000000002019</v>
      </c>
      <c r="LC12">
        <f>-400.7721--398.4833</f>
        <v>-2.2888000000000375</v>
      </c>
      <c r="LD12">
        <f>-401.6876--401.001</f>
        <v>-0.68659999999999854</v>
      </c>
      <c r="LE12">
        <f>-376.2817--375.5951</f>
        <v>-0.68659999999999854</v>
      </c>
      <c r="LF12">
        <f>-374.6796--375.1373</f>
        <v>0.45769999999998845</v>
      </c>
      <c r="LG12">
        <f>-398.7122--398.0255</f>
        <v>-0.68669999999997344</v>
      </c>
      <c r="LH12">
        <f>-399.8566--399.1699</f>
        <v>-0.68670000000003029</v>
      </c>
      <c r="LI12">
        <f>-399.3988--401.6876</f>
        <v>2.2887999999999806</v>
      </c>
      <c r="LJ12">
        <f>-395.7367--395.5078</f>
        <v>-0.2289000000000101</v>
      </c>
      <c r="LL12">
        <f>-400.3143--400.0854</f>
        <v>-0.2289000000000101</v>
      </c>
      <c r="LM12">
        <f>-405.8075--405.5786</f>
        <v>-0.2289000000000101</v>
      </c>
      <c r="LN12">
        <f>-394.1345--395.5078</f>
        <v>1.373299999999972</v>
      </c>
      <c r="LO12">
        <f>-478.1342--479.0497</f>
        <v>0.9154999999999518</v>
      </c>
      <c r="LP12">
        <f>-480.1941--480.6519</f>
        <v>0.45780000000002019</v>
      </c>
      <c r="LQ12">
        <f>-482.9407--483.1696</f>
        <v>0.2289000000000101</v>
      </c>
      <c r="LR12">
        <f>-396.1945--394.5923</f>
        <v>-1.6021999999999821</v>
      </c>
      <c r="LS12">
        <f>-396.6522--396.4233</f>
        <v>-0.2289000000000101</v>
      </c>
      <c r="LT12">
        <f>-398.2544--398.0255</f>
        <v>-0.22889999999995325</v>
      </c>
      <c r="LU12">
        <f>-395.7367--394.8212</f>
        <v>-0.91550000000000864</v>
      </c>
      <c r="LV12">
        <f>-393.9056--393.4479</f>
        <v>-0.45769999999998845</v>
      </c>
      <c r="LW12">
        <f>-395.9656--395.5078</f>
        <v>-0.45780000000002019</v>
      </c>
      <c r="LX12">
        <f>-395.05--393.9056</f>
        <v>-1.1444000000000187</v>
      </c>
      <c r="LY12">
        <f>-395.9656--395.5078</f>
        <v>-0.45780000000002019</v>
      </c>
      <c r="MA12">
        <f>-400.5432--399.8566</f>
        <v>-0.68659999999999854</v>
      </c>
      <c r="MB12">
        <f>-396.6522--395.05</f>
        <v>-1.6021999999999821</v>
      </c>
      <c r="MC12">
        <f>-401.4587--400.5432</f>
        <v>-0.91550000000000864</v>
      </c>
      <c r="MD12">
        <f>-398.941--398.0255</f>
        <v>-0.9154999999999518</v>
      </c>
      <c r="ME12">
        <f>-398.2544--398.0255</f>
        <v>-0.22889999999995325</v>
      </c>
      <c r="MF12">
        <f>-403.5187--402.6031</f>
        <v>-0.91560000000004038</v>
      </c>
      <c r="MH12">
        <f>-405.1208--403.7476</f>
        <v>-1.3731999999999971</v>
      </c>
      <c r="MI12">
        <f>-401.001--401.4587</f>
        <v>0.45770000000004529</v>
      </c>
      <c r="MJ12">
        <f>-401.2299--400.0854</f>
        <v>-1.1444999999999936</v>
      </c>
      <c r="MK12">
        <f>-398.7122--399.1699</f>
        <v>0.45769999999998845</v>
      </c>
      <c r="ML12">
        <f>-354.9957--355.2246</f>
        <v>0.2289000000000101</v>
      </c>
      <c r="MM12">
        <f>-321.3501--320.6635</f>
        <v>-0.68659999999999854</v>
      </c>
      <c r="MN12">
        <f>-482.7118--483.1696</f>
        <v>0.45780000000002019</v>
      </c>
      <c r="MO12">
        <f>-490.036--489.1205</f>
        <v>-0.91550000000000864</v>
      </c>
      <c r="MP12">
        <f>-396.1945--395.2789</f>
        <v>-0.91559999999998354</v>
      </c>
      <c r="MQ12">
        <f>-485.2295--485.6873</f>
        <v>0.45780000000002019</v>
      </c>
      <c r="MR12">
        <f>-488.205--488.6627</f>
        <v>0.45769999999998845</v>
      </c>
      <c r="MS12">
        <f>-491.8671--491.4093</f>
        <v>-0.45780000000002019</v>
      </c>
      <c r="MT12">
        <f>-402.832--402.1454</f>
        <v>-0.68659999999999854</v>
      </c>
      <c r="MU12">
        <f>-401.6876--402.6031</f>
        <v>0.91550000000000864</v>
      </c>
      <c r="MV12">
        <f>-398.0255--397.5677</f>
        <v>-0.45780000000002019</v>
      </c>
      <c r="MW12">
        <f>-396.8811--397.11</f>
        <v>0.2289000000000101</v>
      </c>
      <c r="MX12">
        <f>-489.8071--490.036</f>
        <v>0.2289000000000101</v>
      </c>
      <c r="MY12">
        <f>-493.2404--495.5292</f>
        <v>2.2887999999999806</v>
      </c>
      <c r="MZ12">
        <f>-485.6873--484.314</f>
        <v>-1.373299999999972</v>
      </c>
      <c r="NA12">
        <f>-466.9189--468.5211</f>
        <v>1.6021999999999821</v>
      </c>
      <c r="NB12">
        <f>-391.8457--390.7013</f>
        <v>-1.1444000000000187</v>
      </c>
      <c r="NC12">
        <f>-394.3634--393.4479</f>
        <v>-0.91550000000000864</v>
      </c>
      <c r="ND12">
        <f>-392.7612--392.9901</f>
        <v>0.2289000000000101</v>
      </c>
      <c r="NE12">
        <f>-392.9901--393.9056</f>
        <v>0.91550000000000864</v>
      </c>
      <c r="NG12">
        <f>-392.3035--391.3879</f>
        <v>-0.91559999999998354</v>
      </c>
      <c r="NH12">
        <f>-397.11--395.7367</f>
        <v>-1.3733000000000288</v>
      </c>
      <c r="NI12">
        <f>-392.9901--392.5323</f>
        <v>-0.45779999999996335</v>
      </c>
      <c r="NJ12">
        <f>-397.3389--397.5677</f>
        <v>0.22879999999997835</v>
      </c>
      <c r="NK12">
        <f>-392.9901--392.0746</f>
        <v>-0.91550000000000864</v>
      </c>
      <c r="NL12">
        <f>-392.9901--392.7612</f>
        <v>-0.2289000000000101</v>
      </c>
      <c r="NM12">
        <f>-397.3389--396.6522</f>
        <v>-0.68670000000003029</v>
      </c>
      <c r="NN12">
        <f>-391.8457--391.6168</f>
        <v>-0.2289000000000101</v>
      </c>
      <c r="NO12">
        <f>-394.5923--394.3634</f>
        <v>-0.2289000000000101</v>
      </c>
      <c r="NQ12">
        <f>-397.5677--399.1699</f>
        <v>1.6021999999999821</v>
      </c>
      <c r="NS12">
        <f>-396.8811--396.6522</f>
        <v>-0.2289000000000101</v>
      </c>
      <c r="NT12">
        <f>-398.0255--397.5677</f>
        <v>-0.45780000000002019</v>
      </c>
      <c r="NU12">
        <f>-396.1945--396.6522</f>
        <v>0.45769999999998845</v>
      </c>
      <c r="NV12">
        <f>-395.7367--395.5078</f>
        <v>-0.2289000000000101</v>
      </c>
      <c r="NW12">
        <f>-415.1917--415.6494</f>
        <v>0.45769999999998845</v>
      </c>
      <c r="NX12">
        <f>-396.1945--396.4233</f>
        <v>0.22879999999997835</v>
      </c>
      <c r="NY12">
        <f>-398.941--397.7966</f>
        <v>-1.1443999999999619</v>
      </c>
      <c r="NZ12">
        <f>-397.3389--397.7966</f>
        <v>0.45769999999998845</v>
      </c>
      <c r="OA12">
        <f>-397.3389--398.4833</f>
        <v>1.1443999999999619</v>
      </c>
      <c r="OB12">
        <f>-374.9084--374.6796</f>
        <v>-0.22879999999997835</v>
      </c>
      <c r="OD12">
        <f>-375.3662--376.9684</f>
        <v>1.6021999999999821</v>
      </c>
      <c r="OE12">
        <f>-376.2817--376.7395</f>
        <v>0.45780000000002019</v>
      </c>
      <c r="OF12">
        <f>-376.5106--376.7395</f>
        <v>0.2289000000000101</v>
      </c>
      <c r="OH12">
        <f>-397.3389--397.7966</f>
        <v>0.45769999999998845</v>
      </c>
      <c r="OJ12">
        <f>-397.5677--399.3988</f>
        <v>1.8310999999999922</v>
      </c>
      <c r="OK12">
        <f>-397.7966--397.11</f>
        <v>-0.68659999999999854</v>
      </c>
      <c r="OL12">
        <f>-398.4833--398.7122</f>
        <v>0.2289000000000101</v>
      </c>
      <c r="OM12">
        <f>-396.8811--395.9656</f>
        <v>-0.91550000000000864</v>
      </c>
      <c r="ON12">
        <f>-398.2544--398.7122</f>
        <v>0.45780000000002019</v>
      </c>
      <c r="OO12">
        <f>-411.0718--413.3606</f>
        <v>2.2887999999999806</v>
      </c>
      <c r="OP12">
        <f>-403.0609--405.3497</f>
        <v>2.2887999999999806</v>
      </c>
      <c r="PV12" t="s">
        <v>1167</v>
      </c>
      <c r="QE12">
        <v>-1</v>
      </c>
      <c r="QF12">
        <v>-1</v>
      </c>
      <c r="QG12">
        <v>-1</v>
      </c>
      <c r="QH12">
        <v>-1</v>
      </c>
      <c r="QI12">
        <v>-1</v>
      </c>
      <c r="QJ12">
        <v>-1</v>
      </c>
      <c r="QK12">
        <v>-1</v>
      </c>
      <c r="QL12">
        <v>-1</v>
      </c>
    </row>
    <row r="13" spans="1:454" x14ac:dyDescent="0.25">
      <c r="A13" t="s">
        <v>1979</v>
      </c>
      <c r="B13" t="s">
        <v>1019</v>
      </c>
      <c r="C13" t="s">
        <v>1980</v>
      </c>
      <c r="D13" t="s">
        <v>1981</v>
      </c>
      <c r="E13" t="s">
        <v>1414</v>
      </c>
      <c r="F13" t="s">
        <v>1824</v>
      </c>
      <c r="G13" t="s">
        <v>1225</v>
      </c>
      <c r="H13" t="s">
        <v>1982</v>
      </c>
      <c r="I13" t="s">
        <v>1983</v>
      </c>
      <c r="J13" t="s">
        <v>1984</v>
      </c>
      <c r="K13" t="s">
        <v>1985</v>
      </c>
      <c r="L13" t="s">
        <v>1986</v>
      </c>
      <c r="M13" t="s">
        <v>1987</v>
      </c>
      <c r="N13" t="s">
        <v>1988</v>
      </c>
      <c r="O13" t="s">
        <v>1989</v>
      </c>
      <c r="P13" t="s">
        <v>1990</v>
      </c>
      <c r="Q13" t="s">
        <v>1343</v>
      </c>
      <c r="R13" t="s">
        <v>1804</v>
      </c>
      <c r="S13" t="s">
        <v>1005</v>
      </c>
      <c r="T13" t="s">
        <v>895</v>
      </c>
      <c r="U13" t="s">
        <v>1429</v>
      </c>
      <c r="V13" t="s">
        <v>1991</v>
      </c>
      <c r="W13" t="s">
        <v>1348</v>
      </c>
      <c r="X13" t="s">
        <v>1992</v>
      </c>
      <c r="Y13" t="s">
        <v>1067</v>
      </c>
      <c r="Z13" t="s">
        <v>1993</v>
      </c>
      <c r="AA13" t="s">
        <v>1994</v>
      </c>
      <c r="AB13" t="s">
        <v>1995</v>
      </c>
      <c r="AC13" t="s">
        <v>1951</v>
      </c>
      <c r="AD13" t="s">
        <v>1996</v>
      </c>
      <c r="AE13" t="s">
        <v>1871</v>
      </c>
      <c r="AF13" t="s">
        <v>1997</v>
      </c>
      <c r="AG13" t="s">
        <v>1998</v>
      </c>
      <c r="AH13" t="s">
        <v>1999</v>
      </c>
      <c r="AI13" t="s">
        <v>1771</v>
      </c>
      <c r="AJ13" t="s">
        <v>1442</v>
      </c>
      <c r="AK13" t="s">
        <v>2000</v>
      </c>
      <c r="AL13" t="s">
        <v>1360</v>
      </c>
      <c r="AM13" t="s">
        <v>1915</v>
      </c>
      <c r="AN13" t="s">
        <v>1314</v>
      </c>
      <c r="AO13" t="s">
        <v>2001</v>
      </c>
      <c r="AP13" t="s">
        <v>2002</v>
      </c>
      <c r="AQ13" t="s">
        <v>1942</v>
      </c>
      <c r="AR13" t="s">
        <v>2003</v>
      </c>
      <c r="AS13" t="s">
        <v>2004</v>
      </c>
      <c r="AT13" t="s">
        <v>1747</v>
      </c>
      <c r="AU13" t="s">
        <v>2005</v>
      </c>
      <c r="AV13" t="s">
        <v>2006</v>
      </c>
      <c r="AW13" t="s">
        <v>1807</v>
      </c>
      <c r="AX13" t="s">
        <v>1639</v>
      </c>
      <c r="AY13" t="s">
        <v>1216</v>
      </c>
      <c r="AZ13" t="s">
        <v>1445</v>
      </c>
      <c r="BA13" t="s">
        <v>1495</v>
      </c>
      <c r="BB13" t="s">
        <v>1914</v>
      </c>
      <c r="BC13" t="s">
        <v>939</v>
      </c>
      <c r="BD13" t="s">
        <v>2007</v>
      </c>
      <c r="BE13" t="s">
        <v>2008</v>
      </c>
      <c r="BF13" t="s">
        <v>2009</v>
      </c>
      <c r="BG13" t="s">
        <v>2010</v>
      </c>
      <c r="BH13" t="s">
        <v>1677</v>
      </c>
      <c r="BI13" t="s">
        <v>998</v>
      </c>
      <c r="BJ13" t="s">
        <v>964</v>
      </c>
      <c r="BK13" t="s">
        <v>2011</v>
      </c>
      <c r="BL13" t="s">
        <v>1892</v>
      </c>
      <c r="BM13" t="s">
        <v>2012</v>
      </c>
      <c r="BN13" t="s">
        <v>2013</v>
      </c>
      <c r="BO13" t="s">
        <v>1905</v>
      </c>
      <c r="BP13" t="s">
        <v>2014</v>
      </c>
      <c r="BQ13" t="s">
        <v>1371</v>
      </c>
      <c r="BR13" t="s">
        <v>1043</v>
      </c>
      <c r="BS13" t="s">
        <v>2015</v>
      </c>
      <c r="BT13" t="s">
        <v>1342</v>
      </c>
      <c r="BU13" t="s">
        <v>1374</v>
      </c>
      <c r="BW13" t="s">
        <v>2016</v>
      </c>
      <c r="BX13" t="s">
        <v>1233</v>
      </c>
      <c r="BY13" t="s">
        <v>2017</v>
      </c>
      <c r="BZ13" t="s">
        <v>927</v>
      </c>
      <c r="CA13" t="s">
        <v>2018</v>
      </c>
      <c r="CB13" t="s">
        <v>2019</v>
      </c>
      <c r="CC13" t="s">
        <v>1599</v>
      </c>
      <c r="CD13" t="s">
        <v>1229</v>
      </c>
      <c r="CE13" t="s">
        <v>2020</v>
      </c>
      <c r="CF13" t="s">
        <v>1893</v>
      </c>
      <c r="CG13" t="s">
        <v>2021</v>
      </c>
      <c r="CH13" t="s">
        <v>894</v>
      </c>
      <c r="CI13" t="s">
        <v>1631</v>
      </c>
      <c r="CJ13" t="s">
        <v>1437</v>
      </c>
      <c r="CK13" t="s">
        <v>1275</v>
      </c>
      <c r="CL13" t="s">
        <v>1970</v>
      </c>
      <c r="CM13" t="s">
        <v>1613</v>
      </c>
      <c r="CN13" t="s">
        <v>2022</v>
      </c>
      <c r="CO13" t="s">
        <v>874</v>
      </c>
      <c r="CP13" t="s">
        <v>1122</v>
      </c>
      <c r="CQ13" t="s">
        <v>1430</v>
      </c>
      <c r="CR13" t="s">
        <v>1464</v>
      </c>
      <c r="CS13" t="s">
        <v>2023</v>
      </c>
      <c r="CT13" t="s">
        <v>1445</v>
      </c>
      <c r="CU13" t="s">
        <v>1689</v>
      </c>
      <c r="CV13" t="s">
        <v>2024</v>
      </c>
      <c r="CW13" t="s">
        <v>2025</v>
      </c>
      <c r="CX13" t="s">
        <v>1284</v>
      </c>
      <c r="CY13" t="s">
        <v>2026</v>
      </c>
      <c r="CZ13" t="s">
        <v>1349</v>
      </c>
      <c r="DA13" t="s">
        <v>1026</v>
      </c>
      <c r="DB13" t="s">
        <v>2027</v>
      </c>
      <c r="DC13" t="s">
        <v>2028</v>
      </c>
      <c r="DD13" t="s">
        <v>2029</v>
      </c>
      <c r="DE13" t="s">
        <v>2030</v>
      </c>
      <c r="DF13" t="s">
        <v>2031</v>
      </c>
      <c r="DG13" t="s">
        <v>2032</v>
      </c>
      <c r="DH13" t="s">
        <v>2033</v>
      </c>
      <c r="DI13" t="s">
        <v>2034</v>
      </c>
      <c r="DJ13" t="s">
        <v>2035</v>
      </c>
      <c r="DK13" t="s">
        <v>2036</v>
      </c>
      <c r="DL13" t="s">
        <v>1809</v>
      </c>
      <c r="DN13" t="s">
        <v>1229</v>
      </c>
      <c r="DO13" t="s">
        <v>960</v>
      </c>
      <c r="DP13" t="s">
        <v>2037</v>
      </c>
      <c r="DQ13" t="s">
        <v>1665</v>
      </c>
      <c r="DR13" t="s">
        <v>1229</v>
      </c>
      <c r="DS13" t="s">
        <v>1105</v>
      </c>
      <c r="DT13" t="s">
        <v>1613</v>
      </c>
      <c r="DU13" t="s">
        <v>1185</v>
      </c>
      <c r="DV13" t="s">
        <v>1185</v>
      </c>
      <c r="DW13" t="s">
        <v>2038</v>
      </c>
      <c r="DX13" t="s">
        <v>2039</v>
      </c>
      <c r="DY13" t="s">
        <v>1905</v>
      </c>
      <c r="DZ13" t="s">
        <v>2040</v>
      </c>
      <c r="EA13" t="s">
        <v>2041</v>
      </c>
      <c r="EB13" t="s">
        <v>1914</v>
      </c>
      <c r="EC13" t="s">
        <v>2042</v>
      </c>
      <c r="ED13" t="s">
        <v>2043</v>
      </c>
      <c r="EE13" t="s">
        <v>1191</v>
      </c>
      <c r="EF13" t="s">
        <v>1832</v>
      </c>
      <c r="EG13" t="s">
        <v>2007</v>
      </c>
      <c r="EH13" t="s">
        <v>2044</v>
      </c>
      <c r="EI13" t="s">
        <v>1298</v>
      </c>
      <c r="EJ13" t="s">
        <v>1477</v>
      </c>
      <c r="EK13" t="s">
        <v>2045</v>
      </c>
      <c r="EL13" t="s">
        <v>1175</v>
      </c>
      <c r="EM13" t="s">
        <v>2046</v>
      </c>
      <c r="EN13" t="s">
        <v>2047</v>
      </c>
      <c r="EO13" t="s">
        <v>2048</v>
      </c>
      <c r="EP13" t="s">
        <v>2049</v>
      </c>
      <c r="EQ13" t="s">
        <v>2050</v>
      </c>
      <c r="ER13" t="s">
        <v>2051</v>
      </c>
      <c r="ES13" t="s">
        <v>2052</v>
      </c>
      <c r="ET13" t="s">
        <v>2053</v>
      </c>
      <c r="EU13" t="s">
        <v>2054</v>
      </c>
      <c r="EV13" t="s">
        <v>2055</v>
      </c>
      <c r="EW13" t="s">
        <v>2056</v>
      </c>
      <c r="EX13" t="s">
        <v>909</v>
      </c>
      <c r="EY13" t="s">
        <v>2057</v>
      </c>
      <c r="EZ13" t="s">
        <v>1162</v>
      </c>
      <c r="FA13" t="s">
        <v>1193</v>
      </c>
      <c r="FB13" t="s">
        <v>2058</v>
      </c>
      <c r="FC13" t="s">
        <v>2059</v>
      </c>
      <c r="FD13" t="s">
        <v>2060</v>
      </c>
      <c r="FE13" t="s">
        <v>2061</v>
      </c>
      <c r="FF13" t="s">
        <v>983</v>
      </c>
      <c r="FG13" t="s">
        <v>2062</v>
      </c>
      <c r="FH13" t="s">
        <v>2063</v>
      </c>
      <c r="FI13" t="s">
        <v>2064</v>
      </c>
      <c r="FJ13" t="s">
        <v>1970</v>
      </c>
      <c r="FK13" t="s">
        <v>2065</v>
      </c>
      <c r="FL13" t="s">
        <v>1491</v>
      </c>
      <c r="FM13" t="s">
        <v>895</v>
      </c>
      <c r="FO13" t="s">
        <v>1287</v>
      </c>
      <c r="FP13" t="s">
        <v>2066</v>
      </c>
      <c r="FQ13" t="s">
        <v>1153</v>
      </c>
      <c r="FR13" t="s">
        <v>2067</v>
      </c>
      <c r="FS13" t="s">
        <v>2068</v>
      </c>
      <c r="FT13" t="s">
        <v>1086</v>
      </c>
      <c r="FU13" t="s">
        <v>895</v>
      </c>
      <c r="FV13" t="s">
        <v>1553</v>
      </c>
      <c r="FW13" t="s">
        <v>2069</v>
      </c>
      <c r="FY13" t="s">
        <v>1621</v>
      </c>
      <c r="FZ13" t="s">
        <v>937</v>
      </c>
      <c r="GB13" t="s">
        <v>1437</v>
      </c>
      <c r="GC13" t="s">
        <v>2070</v>
      </c>
      <c r="GD13" t="s">
        <v>1522</v>
      </c>
      <c r="GE13" t="s">
        <v>1284</v>
      </c>
      <c r="GF13" t="s">
        <v>1813</v>
      </c>
      <c r="GG13" t="s">
        <v>937</v>
      </c>
      <c r="GI13" t="s">
        <v>1247</v>
      </c>
      <c r="GJ13" t="s">
        <v>1627</v>
      </c>
      <c r="GK13" t="s">
        <v>2071</v>
      </c>
      <c r="GL13" t="s">
        <v>2072</v>
      </c>
      <c r="GM13" t="s">
        <v>1413</v>
      </c>
      <c r="GN13" t="s">
        <v>1546</v>
      </c>
      <c r="GO13" t="s">
        <v>2073</v>
      </c>
      <c r="GP13" t="s">
        <v>2074</v>
      </c>
      <c r="GQ13" t="s">
        <v>1456</v>
      </c>
      <c r="GR13" t="s">
        <v>1283</v>
      </c>
      <c r="GS13" t="s">
        <v>2075</v>
      </c>
      <c r="GT13" t="s">
        <v>2076</v>
      </c>
      <c r="GU13" t="s">
        <v>2077</v>
      </c>
      <c r="GV13" t="s">
        <v>2078</v>
      </c>
      <c r="GW13">
        <f>-402.3743--400.3143</f>
        <v>-2.0600000000000023</v>
      </c>
      <c r="GX13">
        <f>-401.4587--401.2299</f>
        <v>-0.2288000000000352</v>
      </c>
      <c r="GY13">
        <f>-401.9165--401.001</f>
        <v>-0.91550000000000864</v>
      </c>
      <c r="GZ13">
        <f>-400.0854--400.7721</f>
        <v>0.68670000000003029</v>
      </c>
      <c r="HA13">
        <f>-401.9165--401.4587</f>
        <v>-0.45779999999996335</v>
      </c>
      <c r="HB13">
        <f>-400.7721--399.8566</f>
        <v>-0.91550000000000864</v>
      </c>
      <c r="HD13">
        <f>-401.9165--402.832</f>
        <v>0.91550000000000864</v>
      </c>
      <c r="HE13">
        <f>-405.5786--402.3743</f>
        <v>-3.2042999999999893</v>
      </c>
      <c r="HF13">
        <f>-402.6031--401.001</f>
        <v>-1.6021000000000072</v>
      </c>
      <c r="HG13">
        <f>-400.5432--400.3143</f>
        <v>-0.2289000000000101</v>
      </c>
      <c r="HH13">
        <f>-400.7721--401.001</f>
        <v>0.22889999999995325</v>
      </c>
      <c r="HI13">
        <f>-402.6031--402.832</f>
        <v>0.2289000000000101</v>
      </c>
      <c r="HJ13">
        <f>-402.3743--402.6031</f>
        <v>0.22879999999997835</v>
      </c>
      <c r="HK13">
        <f>-377.8839--378.1128</f>
        <v>0.2289000000000101</v>
      </c>
      <c r="HL13">
        <f>-378.5706--378.1128</f>
        <v>-0.45780000000002019</v>
      </c>
      <c r="HM13">
        <f>-401.6876--401.001</f>
        <v>-0.68659999999999854</v>
      </c>
      <c r="HN13">
        <f>-402.1454--402.6031</f>
        <v>0.45769999999998845</v>
      </c>
      <c r="HO13">
        <f>-401.6876--401.9165</f>
        <v>0.2289000000000101</v>
      </c>
      <c r="HP13">
        <f>-402.832--404.6631</f>
        <v>1.8310999999999922</v>
      </c>
      <c r="HR13">
        <f>-443.573--442.4286</f>
        <v>-1.1443999999999619</v>
      </c>
      <c r="HS13">
        <f>-486.6028--486.145</f>
        <v>-0.45780000000002019</v>
      </c>
      <c r="HT13">
        <f>-486.145--485.4584</f>
        <v>-0.68659999999999854</v>
      </c>
      <c r="HU13">
        <f>-491.4093--490.7227</f>
        <v>-0.68659999999999854</v>
      </c>
      <c r="HV13">
        <f>-402.1454--399.8566</f>
        <v>-2.2887999999999806</v>
      </c>
      <c r="HW13">
        <f>-400.5432--399.6277</f>
        <v>-0.91550000000000864</v>
      </c>
      <c r="HX13">
        <f>-400.3143--399.8566</f>
        <v>-0.45769999999998845</v>
      </c>
      <c r="HY13">
        <f>-399.8566--398.941</f>
        <v>-0.91560000000004038</v>
      </c>
      <c r="HZ13">
        <f>-397.11--397.7966</f>
        <v>0.68659999999999854</v>
      </c>
      <c r="IA13">
        <f>-396.6522--396.4233</f>
        <v>-0.2289000000000101</v>
      </c>
      <c r="IB13">
        <f>-395.2789--394.3634</f>
        <v>-0.91550000000000864</v>
      </c>
      <c r="IC13">
        <f>-397.7966--396.6522</f>
        <v>-1.1444000000000187</v>
      </c>
      <c r="ID13">
        <f>-400.5432--400.0854</f>
        <v>-0.45780000000002019</v>
      </c>
      <c r="IE13">
        <f>-403.2898--403.0609</f>
        <v>-0.2289000000000101</v>
      </c>
      <c r="IF13">
        <f>-403.7476--402.1454</f>
        <v>-1.6021999999999821</v>
      </c>
      <c r="IG13">
        <f>-400.7721--400.5432</f>
        <v>-0.2289000000000101</v>
      </c>
      <c r="II13">
        <f>-403.5187--403.9764</f>
        <v>0.45769999999998845</v>
      </c>
      <c r="IJ13">
        <f>-403.5187--402.1454</f>
        <v>-1.3733000000000288</v>
      </c>
      <c r="IK13">
        <f>-401.001--401.6876</f>
        <v>0.68659999999999854</v>
      </c>
      <c r="IL13">
        <f>-363.9221--364.3799</f>
        <v>0.45780000000002019</v>
      </c>
      <c r="IM13">
        <f>-329.8187--329.1321</f>
        <v>-0.68659999999999854</v>
      </c>
      <c r="IN13">
        <f>-410.8429--410.3851</f>
        <v>-0.45779999999996335</v>
      </c>
      <c r="IO13">
        <f>-491.1804--490.2649</f>
        <v>-0.91550000000000864</v>
      </c>
      <c r="IP13">
        <f>-494.3848--493.6981</f>
        <v>-0.68669999999997344</v>
      </c>
      <c r="IQ13">
        <f>-404.6631--403.7476</f>
        <v>-0.91550000000000864</v>
      </c>
      <c r="IR13">
        <f>-409.4696--407.8674</f>
        <v>-1.6022000000000389</v>
      </c>
      <c r="IS13">
        <f>-408.783--409.4696</f>
        <v>0.68659999999999854</v>
      </c>
      <c r="IT13">
        <f>-405.8075--405.5786</f>
        <v>-0.2289000000000101</v>
      </c>
      <c r="IU13">
        <f>-490.2649--490.9515</f>
        <v>0.68659999999999854</v>
      </c>
      <c r="IV13">
        <f>-409.6985--409.9274</f>
        <v>0.22889999999995325</v>
      </c>
      <c r="IW13">
        <f>-414.2761--414.7339</f>
        <v>0.45780000000002019</v>
      </c>
      <c r="IX13">
        <f>-407.1808--406.9519</f>
        <v>-0.22889999999995325</v>
      </c>
      <c r="IY13">
        <f>-493.927--493.6981</f>
        <v>-0.2289000000000101</v>
      </c>
      <c r="IZ13">
        <f>-494.1559--493.6981</f>
        <v>-0.45779999999996335</v>
      </c>
      <c r="JA13">
        <f>-487.5183--488.4338</f>
        <v>0.91550000000000864</v>
      </c>
      <c r="JB13">
        <f>-487.0605--486.145</f>
        <v>-0.91550000000000864</v>
      </c>
      <c r="JC13">
        <f>-409.4696--407.8674</f>
        <v>-1.6022000000000389</v>
      </c>
      <c r="JF13">
        <f>-395.9656--394.5923</f>
        <v>-1.373299999999972</v>
      </c>
      <c r="JG13">
        <f>-395.2789--394.5923</f>
        <v>-0.68659999999999854</v>
      </c>
      <c r="JH13">
        <f>-399.3988--399.1699</f>
        <v>-0.2289000000000101</v>
      </c>
      <c r="JI13">
        <f>-395.9656--395.2789</f>
        <v>-0.68669999999997344</v>
      </c>
      <c r="JJ13">
        <f>-401.001--401.6876</f>
        <v>0.68659999999999854</v>
      </c>
      <c r="JK13">
        <f>-401.6876--401.2299</f>
        <v>-0.45769999999998845</v>
      </c>
      <c r="JL13">
        <f>-396.4233--395.7367</f>
        <v>-0.68659999999999854</v>
      </c>
      <c r="JM13">
        <f>-401.001--401.2299</f>
        <v>0.2289000000000101</v>
      </c>
      <c r="JN13">
        <f>-403.0609--402.6031</f>
        <v>-0.45780000000002019</v>
      </c>
      <c r="JO13">
        <f>-403.0609--401.2299</f>
        <v>-1.8310000000000173</v>
      </c>
      <c r="JP13">
        <f>-398.7122--398.0255</f>
        <v>-0.68669999999997344</v>
      </c>
      <c r="JQ13">
        <f>-399.8566--399.1699</f>
        <v>-0.68670000000003029</v>
      </c>
      <c r="JR13">
        <f>-401.001--401.6876</f>
        <v>0.68659999999999854</v>
      </c>
      <c r="JT13">
        <f>-400.5432--400.0854</f>
        <v>-0.45780000000002019</v>
      </c>
      <c r="JU13">
        <f>-399.8566--399.6277</f>
        <v>-0.2289000000000101</v>
      </c>
      <c r="JV13">
        <f>-399.1699--399.3988</f>
        <v>0.2289000000000101</v>
      </c>
      <c r="JX13">
        <f>-400.7721--400.0854</f>
        <v>-0.68670000000003029</v>
      </c>
      <c r="JY13">
        <f>-445.8618--445.4041</f>
        <v>-0.45769999999998845</v>
      </c>
      <c r="JZ13">
        <f>-402.1454--401.9165</f>
        <v>-0.2289000000000101</v>
      </c>
      <c r="KA13">
        <f>-421.3715--422.5159</f>
        <v>1.1443999999999619</v>
      </c>
      <c r="KB13">
        <f>-400.3143--399.3988</f>
        <v>-0.91550000000000864</v>
      </c>
      <c r="KC13">
        <f>-401.6876--401.4587</f>
        <v>-0.22889999999995325</v>
      </c>
      <c r="KE13">
        <f>-376.5106--377.8839</f>
        <v>1.373299999999972</v>
      </c>
      <c r="KF13">
        <f>-399.1699--398.941</f>
        <v>-0.2289000000000101</v>
      </c>
      <c r="KG13">
        <f>-377.655--378.1128</f>
        <v>0.45780000000002019</v>
      </c>
      <c r="KH13">
        <f>-377.4261--378.3417</f>
        <v>0.91559999999998354</v>
      </c>
      <c r="KI13">
        <f>-376.5106--377.1973</f>
        <v>0.68669999999997344</v>
      </c>
      <c r="KJ13">
        <f>-401.6876--400.3143</f>
        <v>-1.373299999999972</v>
      </c>
      <c r="KK13">
        <f>-398.4833--398.0255</f>
        <v>-0.45779999999996335</v>
      </c>
      <c r="KL13">
        <f>-398.0255--398.941</f>
        <v>0.9154999999999518</v>
      </c>
      <c r="KM13">
        <f>-398.941--398.7122</f>
        <v>-0.22879999999997835</v>
      </c>
      <c r="KN13">
        <f>-402.6031--402.1454</f>
        <v>-0.45769999999998845</v>
      </c>
      <c r="KP13">
        <f>-400.7721--414.0472</f>
        <v>13.275099999999952</v>
      </c>
      <c r="KQ13">
        <f>-414.505--417.0227</f>
        <v>2.5176999999999907</v>
      </c>
      <c r="KR13">
        <f>-400.7721--401.2299</f>
        <v>0.45779999999996335</v>
      </c>
      <c r="KS13">
        <f>-402.1454--401.2299</f>
        <v>-0.91550000000000864</v>
      </c>
      <c r="KT13">
        <f>-402.832--402.1454</f>
        <v>-0.68659999999999854</v>
      </c>
      <c r="KU13">
        <f>-404.2053--401.2299</f>
        <v>-2.975400000000036</v>
      </c>
      <c r="KV13">
        <f>-402.1454--405.8075</f>
        <v>3.6621000000000095</v>
      </c>
      <c r="KW13">
        <f>-403.9764--401.6876</f>
        <v>-2.2888000000000375</v>
      </c>
      <c r="KX13">
        <f>-399.3988--399.6277</f>
        <v>0.2289000000000101</v>
      </c>
      <c r="KY13">
        <f>-402.6031--401.4587</f>
        <v>-1.1443999999999619</v>
      </c>
      <c r="KZ13">
        <f>-400.5432--401.9165</f>
        <v>1.373299999999972</v>
      </c>
      <c r="LC13">
        <f>-402.3743--402.1454</f>
        <v>-0.2289000000000101</v>
      </c>
      <c r="LD13">
        <f>-401.6876--402.1454</f>
        <v>0.45780000000002019</v>
      </c>
      <c r="LE13">
        <f>-382.2327--377.8839</f>
        <v>-4.3488000000000397</v>
      </c>
      <c r="LF13">
        <f>-378.1128--377.655</f>
        <v>-0.45780000000002019</v>
      </c>
      <c r="LG13">
        <f>-401.2299--401.4587</f>
        <v>0.2288000000000352</v>
      </c>
      <c r="LI13">
        <f>-402.6031--402.1454</f>
        <v>-0.45769999999998845</v>
      </c>
      <c r="LJ13">
        <f>-400.5432--400.3143</f>
        <v>-0.2289000000000101</v>
      </c>
      <c r="LK13">
        <f>-403.0609--402.3743</f>
        <v>-0.68659999999999854</v>
      </c>
      <c r="LL13">
        <f>-402.3743--401.4587</f>
        <v>-0.91559999999998354</v>
      </c>
      <c r="LM13">
        <f>-404.4342--403.9764</f>
        <v>-0.45779999999996335</v>
      </c>
      <c r="LN13">
        <f>-398.4833--398.941</f>
        <v>0.45769999999998845</v>
      </c>
      <c r="LO13">
        <f>-481.5674--480.6519</f>
        <v>-0.91550000000000864</v>
      </c>
      <c r="LP13">
        <f>-480.1941--479.9652</f>
        <v>-0.2289000000000101</v>
      </c>
      <c r="LR13">
        <f>-401.4587--400.3143</f>
        <v>-1.1444000000000187</v>
      </c>
      <c r="LS13">
        <f>-399.1699--398.7122</f>
        <v>-0.45769999999998845</v>
      </c>
      <c r="LT13">
        <f>-400.7721--400.3143</f>
        <v>-0.45780000000002019</v>
      </c>
      <c r="LU13">
        <f>-398.4833--396.6522</f>
        <v>-1.8310999999999922</v>
      </c>
      <c r="LV13">
        <f>-397.11--396.1945</f>
        <v>-0.91550000000000864</v>
      </c>
      <c r="LW13">
        <f>-398.4833--398.0255</f>
        <v>-0.45779999999996335</v>
      </c>
      <c r="LX13">
        <f>-398.4833--397.11</f>
        <v>-1.373299999999972</v>
      </c>
      <c r="LY13">
        <f>-398.4833--397.3389</f>
        <v>-1.1443999999999619</v>
      </c>
      <c r="LZ13">
        <f>-399.8566--398.4833</f>
        <v>-1.3733000000000288</v>
      </c>
      <c r="MA13">
        <f>-400.7721--400.5432</f>
        <v>-0.2289000000000101</v>
      </c>
      <c r="MB13">
        <f>-396.4233--395.9656</f>
        <v>-0.45769999999998845</v>
      </c>
      <c r="MC13">
        <f>-401.001--400.5432</f>
        <v>-0.45779999999996335</v>
      </c>
      <c r="MD13">
        <f>-401.2299--399.3988</f>
        <v>-1.8310999999999922</v>
      </c>
      <c r="ME13">
        <f>-401.001--400.0854</f>
        <v>-0.91559999999998354</v>
      </c>
      <c r="MF13">
        <f>-407.6385--406.2653</f>
        <v>-1.3731999999999971</v>
      </c>
      <c r="MG13">
        <f>-419.9982--419.3115</f>
        <v>-0.68669999999997344</v>
      </c>
      <c r="MH13">
        <f>-415.4205--415.1917</f>
        <v>-0.22879999999997835</v>
      </c>
      <c r="MJ13">
        <f>-404.2053--404.6631</f>
        <v>0.45779999999996335</v>
      </c>
      <c r="MK13">
        <f>-405.1208--404.6631</f>
        <v>-0.45769999999998845</v>
      </c>
      <c r="MM13">
        <f>-325.2411--324.3256</f>
        <v>-0.91550000000000864</v>
      </c>
      <c r="MN13">
        <f>-487.0605--487.2894</f>
        <v>0.2289000000000101</v>
      </c>
      <c r="MO13">
        <f>-494.6136--494.3848</f>
        <v>-0.2288000000000352</v>
      </c>
      <c r="MP13">
        <f>-406.4941--405.8075</f>
        <v>-0.68659999999999854</v>
      </c>
      <c r="MR13">
        <f>-490.7227--490.4938</f>
        <v>-0.22889999999995325</v>
      </c>
      <c r="MS13">
        <f>-494.8425--494.3848</f>
        <v>-0.45769999999998845</v>
      </c>
      <c r="MT13">
        <f>-411.3007--410.1563</f>
        <v>-1.1444000000000187</v>
      </c>
      <c r="MU13">
        <f>-408.3252--408.783</f>
        <v>0.45780000000002019</v>
      </c>
      <c r="MW13">
        <f>-403.5187--403.0609</f>
        <v>-0.45780000000002019</v>
      </c>
      <c r="MX13">
        <f>-494.3848--494.6136</f>
        <v>0.2288000000000352</v>
      </c>
      <c r="MY13">
        <f>-498.0469--497.818</f>
        <v>-0.2289000000000101</v>
      </c>
      <c r="MZ13">
        <f>-490.2649--489.8071</f>
        <v>-0.45780000000002019</v>
      </c>
      <c r="NA13">
        <f>-468.0634--468.75</f>
        <v>0.68659999999999854</v>
      </c>
      <c r="NB13">
        <f>-396.1945--393.6768</f>
        <v>-2.5176999999999907</v>
      </c>
      <c r="NC13">
        <f>-398.0255--397.7966</f>
        <v>-0.2289000000000101</v>
      </c>
      <c r="NE13">
        <f>-394.5923--396.6522</f>
        <v>2.0598999999999705</v>
      </c>
      <c r="NF13">
        <f>-396.6522--396.1945</f>
        <v>-0.45769999999998845</v>
      </c>
      <c r="NG13">
        <f>-396.1945--395.2789</f>
        <v>-0.91559999999998354</v>
      </c>
      <c r="NH13">
        <f>-400.7721--400.5432</f>
        <v>-0.2289000000000101</v>
      </c>
      <c r="NJ13">
        <f>-402.1454--401.001</f>
        <v>-1.1444000000000187</v>
      </c>
      <c r="NK13">
        <f>-396.6522--396.1945</f>
        <v>-0.45769999999998845</v>
      </c>
      <c r="NL13">
        <f>-398.0255--396.6522</f>
        <v>-1.3733000000000288</v>
      </c>
      <c r="NM13">
        <f>-405.1208--403.0609</f>
        <v>-2.0598999999999705</v>
      </c>
      <c r="NN13">
        <f>-395.05--394.1345</f>
        <v>-0.91550000000000864</v>
      </c>
      <c r="NO13">
        <f>-401.2299--399.6277</f>
        <v>-1.6021999999999821</v>
      </c>
      <c r="NP13">
        <f>-400.5432--401.2299</f>
        <v>0.68669999999997344</v>
      </c>
      <c r="NQ13">
        <f>-401.001--401.2299</f>
        <v>0.2289000000000101</v>
      </c>
      <c r="NR13">
        <f>-400.3143--399.6277</f>
        <v>-0.68659999999999854</v>
      </c>
      <c r="NS13">
        <f>-399.6277--399.3988</f>
        <v>-0.2289000000000101</v>
      </c>
      <c r="NT13">
        <f>-400.7721--399.8566</f>
        <v>-0.91550000000000864</v>
      </c>
      <c r="NU13">
        <f>-399.8566--400.5432</f>
        <v>0.68659999999999854</v>
      </c>
      <c r="NV13">
        <f>-398.4833--399.3988</f>
        <v>0.91550000000000864</v>
      </c>
      <c r="NX13">
        <f>-401.2299--401.001</f>
        <v>-0.2289000000000101</v>
      </c>
      <c r="NY13">
        <f>-400.0854--399.6277</f>
        <v>-0.45769999999998845</v>
      </c>
      <c r="NZ13">
        <f>-399.6277--399.8566</f>
        <v>0.2289000000000101</v>
      </c>
      <c r="OA13">
        <f>-401.2299--401.9165</f>
        <v>0.68659999999999854</v>
      </c>
      <c r="OB13">
        <f>-377.655--377.8839</f>
        <v>0.2289000000000101</v>
      </c>
      <c r="OD13">
        <f>-377.1973--377.655</f>
        <v>0.45769999999998845</v>
      </c>
      <c r="OE13">
        <f>-376.9684--377.8839</f>
        <v>0.91550000000000864</v>
      </c>
      <c r="OF13">
        <f>-378.1128--377.655</f>
        <v>-0.45780000000002019</v>
      </c>
      <c r="OG13">
        <f>-401.001--400.5432</f>
        <v>-0.45779999999996335</v>
      </c>
      <c r="OH13">
        <f>-398.4833--398.7122</f>
        <v>0.2289000000000101</v>
      </c>
      <c r="OI13">
        <f>-401.6876--401.001</f>
        <v>-0.68659999999999854</v>
      </c>
      <c r="OJ13">
        <f>-398.0255--399.6277</f>
        <v>1.6021999999999821</v>
      </c>
      <c r="OK13">
        <f>-398.2544--398.941</f>
        <v>0.68659999999999854</v>
      </c>
      <c r="OL13">
        <f>-399.1699--398.941</f>
        <v>-0.2289000000000101</v>
      </c>
      <c r="OM13">
        <f>-398.7122--398.941</f>
        <v>0.22879999999997835</v>
      </c>
      <c r="ON13">
        <f>-402.832--404.2053</f>
        <v>1.3733000000000288</v>
      </c>
      <c r="OO13">
        <f>-403.5187--404.4342</f>
        <v>0.9154999999999518</v>
      </c>
      <c r="OP13">
        <f>-404.4342--404.892</f>
        <v>0.45780000000002019</v>
      </c>
      <c r="PV13" t="s">
        <v>1167</v>
      </c>
      <c r="PY13" t="s">
        <v>1167</v>
      </c>
      <c r="QE13">
        <v>-1</v>
      </c>
      <c r="QF13">
        <v>-1</v>
      </c>
      <c r="QG13">
        <v>-1</v>
      </c>
      <c r="QH13">
        <v>-1</v>
      </c>
      <c r="QI13">
        <v>-1</v>
      </c>
      <c r="QJ13">
        <v>-1</v>
      </c>
      <c r="QK13">
        <v>-1</v>
      </c>
      <c r="QL13">
        <v>-1</v>
      </c>
    </row>
    <row r="14" spans="1:454" x14ac:dyDescent="0.25">
      <c r="A14" t="s">
        <v>2079</v>
      </c>
      <c r="B14" t="s">
        <v>2080</v>
      </c>
      <c r="C14" t="s">
        <v>2081</v>
      </c>
      <c r="E14" t="s">
        <v>2082</v>
      </c>
      <c r="F14" t="s">
        <v>1970</v>
      </c>
      <c r="G14" t="s">
        <v>893</v>
      </c>
      <c r="H14" t="s">
        <v>1248</v>
      </c>
      <c r="I14" t="s">
        <v>1272</v>
      </c>
      <c r="J14" t="s">
        <v>1930</v>
      </c>
      <c r="K14" t="s">
        <v>929</v>
      </c>
      <c r="L14" t="s">
        <v>1285</v>
      </c>
      <c r="M14" t="s">
        <v>1861</v>
      </c>
      <c r="N14" t="s">
        <v>1162</v>
      </c>
      <c r="O14" t="s">
        <v>2083</v>
      </c>
      <c r="P14" t="s">
        <v>2084</v>
      </c>
      <c r="R14" t="s">
        <v>1250</v>
      </c>
      <c r="S14" t="s">
        <v>1813</v>
      </c>
      <c r="T14" t="s">
        <v>928</v>
      </c>
      <c r="U14" t="s">
        <v>2085</v>
      </c>
      <c r="V14" t="s">
        <v>2086</v>
      </c>
      <c r="W14" t="s">
        <v>894</v>
      </c>
      <c r="X14" t="s">
        <v>2087</v>
      </c>
      <c r="Y14" t="s">
        <v>2088</v>
      </c>
      <c r="Z14" t="s">
        <v>2089</v>
      </c>
      <c r="AA14" t="s">
        <v>2090</v>
      </c>
      <c r="AC14" t="s">
        <v>2091</v>
      </c>
      <c r="AD14" t="s">
        <v>2092</v>
      </c>
      <c r="AE14" t="s">
        <v>1828</v>
      </c>
      <c r="AF14" t="s">
        <v>1013</v>
      </c>
      <c r="AG14" t="s">
        <v>2093</v>
      </c>
      <c r="AH14" t="s">
        <v>1378</v>
      </c>
      <c r="AI14" t="s">
        <v>1704</v>
      </c>
      <c r="AK14" t="s">
        <v>1409</v>
      </c>
      <c r="AL14" t="s">
        <v>1345</v>
      </c>
      <c r="AN14" t="s">
        <v>1663</v>
      </c>
      <c r="AO14" t="s">
        <v>1272</v>
      </c>
      <c r="AP14" t="s">
        <v>1254</v>
      </c>
      <c r="AQ14" t="s">
        <v>2094</v>
      </c>
      <c r="AR14" t="s">
        <v>2095</v>
      </c>
      <c r="AS14" t="s">
        <v>2096</v>
      </c>
      <c r="AU14" t="s">
        <v>2097</v>
      </c>
      <c r="AW14" t="s">
        <v>2098</v>
      </c>
      <c r="AY14" t="s">
        <v>972</v>
      </c>
      <c r="AZ14" t="s">
        <v>2099</v>
      </c>
      <c r="BA14" t="s">
        <v>2100</v>
      </c>
      <c r="BC14" t="s">
        <v>2101</v>
      </c>
      <c r="BD14" t="s">
        <v>1338</v>
      </c>
      <c r="BE14" t="s">
        <v>2102</v>
      </c>
      <c r="BF14" t="s">
        <v>1733</v>
      </c>
      <c r="BG14" t="s">
        <v>2103</v>
      </c>
      <c r="BH14" t="s">
        <v>2104</v>
      </c>
      <c r="BI14" t="s">
        <v>2105</v>
      </c>
      <c r="BJ14" t="s">
        <v>1285</v>
      </c>
      <c r="BK14" t="s">
        <v>1272</v>
      </c>
      <c r="BM14" t="s">
        <v>1465</v>
      </c>
      <c r="BN14" t="s">
        <v>2106</v>
      </c>
      <c r="BO14" t="s">
        <v>1229</v>
      </c>
      <c r="BP14" t="s">
        <v>1683</v>
      </c>
      <c r="BR14" t="s">
        <v>2107</v>
      </c>
      <c r="BS14" t="s">
        <v>2108</v>
      </c>
      <c r="BT14" t="s">
        <v>2109</v>
      </c>
      <c r="BU14" t="s">
        <v>2086</v>
      </c>
      <c r="BV14" t="s">
        <v>2110</v>
      </c>
      <c r="BX14" t="s">
        <v>2111</v>
      </c>
      <c r="BY14" t="s">
        <v>2112</v>
      </c>
      <c r="BZ14" t="s">
        <v>2113</v>
      </c>
      <c r="CC14" t="s">
        <v>1161</v>
      </c>
      <c r="CD14" t="s">
        <v>1415</v>
      </c>
      <c r="CE14" t="s">
        <v>2114</v>
      </c>
      <c r="CF14" t="s">
        <v>1190</v>
      </c>
      <c r="CG14" t="s">
        <v>1151</v>
      </c>
      <c r="CI14" t="s">
        <v>2115</v>
      </c>
      <c r="CJ14" t="s">
        <v>1348</v>
      </c>
      <c r="CK14" t="s">
        <v>1215</v>
      </c>
      <c r="CL14" t="s">
        <v>1649</v>
      </c>
      <c r="CM14" t="s">
        <v>1215</v>
      </c>
      <c r="CN14" t="s">
        <v>1283</v>
      </c>
      <c r="CP14" t="s">
        <v>967</v>
      </c>
      <c r="CQ14" t="s">
        <v>1660</v>
      </c>
      <c r="CR14" t="s">
        <v>1414</v>
      </c>
      <c r="CS14" t="s">
        <v>1013</v>
      </c>
      <c r="CT14" t="s">
        <v>1251</v>
      </c>
      <c r="CU14" t="s">
        <v>1209</v>
      </c>
      <c r="CV14" t="s">
        <v>2116</v>
      </c>
      <c r="CW14" t="s">
        <v>1074</v>
      </c>
      <c r="CX14">
        <v>-414.73390000000001</v>
      </c>
      <c r="CY14">
        <v>-413.36059999999998</v>
      </c>
      <c r="CZ14">
        <v>-411.0718</v>
      </c>
      <c r="DA14">
        <v>-411.9873</v>
      </c>
      <c r="DB14">
        <v>-413.8184</v>
      </c>
      <c r="DC14">
        <v>-413.58949999999999</v>
      </c>
      <c r="DD14">
        <v>-412.67399999999998</v>
      </c>
      <c r="DE14">
        <v>-412.44510000000002</v>
      </c>
      <c r="DF14">
        <v>-409.46960000000001</v>
      </c>
      <c r="DG14">
        <v>-410.15629999999999</v>
      </c>
      <c r="DH14">
        <v>-410.38510000000002</v>
      </c>
      <c r="DI14">
        <v>-410.38510000000002</v>
      </c>
      <c r="DJ14">
        <v>-408.55410000000001</v>
      </c>
      <c r="DK14">
        <v>-406.26530000000002</v>
      </c>
      <c r="DL14">
        <v>-405.8075</v>
      </c>
      <c r="DM14">
        <v>-412.21620000000001</v>
      </c>
      <c r="DN14">
        <v>-411.30070000000001</v>
      </c>
      <c r="DO14">
        <v>-412.21620000000001</v>
      </c>
      <c r="DP14">
        <v>-417.48050000000001</v>
      </c>
      <c r="DQ14">
        <v>-409.92739999999998</v>
      </c>
      <c r="DR14">
        <v>-412.90280000000001</v>
      </c>
      <c r="DS14">
        <v>-406.4941</v>
      </c>
      <c r="DT14">
        <v>-403.97640000000001</v>
      </c>
      <c r="DU14">
        <v>-604.70579999999995</v>
      </c>
      <c r="DV14">
        <v>-604.24800000000005</v>
      </c>
      <c r="DW14">
        <v>-612.71669999999995</v>
      </c>
      <c r="DX14">
        <v>-413.58949999999999</v>
      </c>
      <c r="DY14">
        <v>-418.62490000000003</v>
      </c>
      <c r="DZ14">
        <v>-416.10719999999998</v>
      </c>
      <c r="EA14">
        <v>-415.19170000000003</v>
      </c>
      <c r="EB14">
        <v>-408.78300000000002</v>
      </c>
      <c r="EC14">
        <v>-406.26530000000002</v>
      </c>
      <c r="ED14">
        <v>-409.92739999999998</v>
      </c>
      <c r="EE14">
        <v>-409.92739999999998</v>
      </c>
      <c r="EF14">
        <v>-410.61399999999998</v>
      </c>
      <c r="EG14">
        <v>-410.84289999999999</v>
      </c>
      <c r="EH14">
        <v>-411.30070000000001</v>
      </c>
      <c r="EI14">
        <v>-407.86739999999998</v>
      </c>
      <c r="EJ14">
        <v>-411.52949999999998</v>
      </c>
      <c r="EK14">
        <v>-408.3252</v>
      </c>
      <c r="EL14">
        <v>-410.38510000000002</v>
      </c>
      <c r="EM14">
        <v>-402.1454</v>
      </c>
      <c r="EN14">
        <v>-400.54320000000001</v>
      </c>
      <c r="EO14">
        <v>-410.84289999999999</v>
      </c>
      <c r="EP14">
        <v>-407.86739999999998</v>
      </c>
      <c r="EQ14">
        <v>-405.34969999999998</v>
      </c>
      <c r="ER14">
        <v>-339.43180000000001</v>
      </c>
      <c r="ES14">
        <v>-361.1755</v>
      </c>
      <c r="ET14">
        <v>-607.68129999999996</v>
      </c>
      <c r="EU14">
        <v>-614.31880000000001</v>
      </c>
      <c r="EV14">
        <v>-404.66309999999999</v>
      </c>
      <c r="EW14">
        <v>-614.09</v>
      </c>
      <c r="EX14">
        <v>-613.86109999999996</v>
      </c>
      <c r="EY14">
        <v>-615.92100000000005</v>
      </c>
      <c r="EZ14">
        <v>-404.66309999999999</v>
      </c>
      <c r="FA14">
        <v>-404.66309999999999</v>
      </c>
      <c r="FB14">
        <v>-403.0609</v>
      </c>
      <c r="FC14">
        <v>-403.97640000000001</v>
      </c>
      <c r="FD14">
        <v>-618.43870000000004</v>
      </c>
      <c r="FE14">
        <v>-618.66759999999999</v>
      </c>
      <c r="FF14">
        <v>-610.19899999999996</v>
      </c>
      <c r="FG14">
        <v>-597.83939999999996</v>
      </c>
      <c r="FH14">
        <v>-411.9873</v>
      </c>
      <c r="FI14">
        <v>-412.44510000000002</v>
      </c>
      <c r="FJ14">
        <v>-412.44510000000002</v>
      </c>
      <c r="FK14">
        <v>-414.505</v>
      </c>
      <c r="FL14">
        <v>-414.505</v>
      </c>
      <c r="FM14">
        <v>-414.505</v>
      </c>
      <c r="FN14">
        <v>-417.70940000000002</v>
      </c>
      <c r="FO14">
        <v>-414.73390000000001</v>
      </c>
      <c r="FP14">
        <v>-417.93819999999999</v>
      </c>
      <c r="FQ14">
        <v>-414.04719999999998</v>
      </c>
      <c r="FR14">
        <v>-413.8184</v>
      </c>
      <c r="FS14">
        <v>-413.13170000000002</v>
      </c>
      <c r="FT14">
        <v>-410.38510000000002</v>
      </c>
      <c r="FU14">
        <v>-416.56490000000002</v>
      </c>
      <c r="FV14">
        <v>-414.96280000000002</v>
      </c>
      <c r="FW14">
        <v>-412.90280000000001</v>
      </c>
      <c r="FX14">
        <v>-414.96280000000002</v>
      </c>
      <c r="FY14">
        <v>-417.02269999999999</v>
      </c>
      <c r="FZ14">
        <v>-415.4205</v>
      </c>
      <c r="GA14">
        <v>-410.38510000000002</v>
      </c>
      <c r="GB14">
        <v>-409.69850000000002</v>
      </c>
      <c r="GC14">
        <v>-459.8236</v>
      </c>
      <c r="GD14">
        <v>-411.0718</v>
      </c>
      <c r="GE14">
        <v>-411.52949999999998</v>
      </c>
      <c r="GF14">
        <v>-410.61399999999998</v>
      </c>
      <c r="GG14">
        <v>-409.92739999999998</v>
      </c>
      <c r="GH14">
        <v>-406.26530000000002</v>
      </c>
      <c r="GI14">
        <v>-410.38510000000002</v>
      </c>
      <c r="GJ14">
        <v>-404.892</v>
      </c>
      <c r="GK14">
        <v>-407.18079999999998</v>
      </c>
      <c r="GL14">
        <v>-406.03640000000001</v>
      </c>
      <c r="GM14">
        <v>-408.09629999999999</v>
      </c>
      <c r="GN14">
        <v>-413.8184</v>
      </c>
      <c r="GO14">
        <v>-409.69850000000002</v>
      </c>
      <c r="GP14">
        <v>-408.55410000000001</v>
      </c>
      <c r="GQ14">
        <v>-410.61399999999998</v>
      </c>
      <c r="GR14">
        <v>-408.3252</v>
      </c>
      <c r="GS14">
        <v>-408.78300000000002</v>
      </c>
      <c r="GT14">
        <v>-409.2407</v>
      </c>
      <c r="GU14">
        <v>-395.27890000000002</v>
      </c>
      <c r="GV14">
        <v>-409.69850000000002</v>
      </c>
      <c r="GW14">
        <f>--401.6876</f>
        <v>401.68759999999997</v>
      </c>
      <c r="GX14">
        <f>--401.9165</f>
        <v>401.91649999999998</v>
      </c>
      <c r="GY14">
        <f>--400.7721</f>
        <v>400.77210000000002</v>
      </c>
      <c r="GZ14">
        <f>--400.5432</f>
        <v>400.54320000000001</v>
      </c>
      <c r="HA14">
        <f>--401.6876</f>
        <v>401.68759999999997</v>
      </c>
      <c r="HB14">
        <f>--400.3143</f>
        <v>400.3143</v>
      </c>
      <c r="HC14">
        <f>--402.6031</f>
        <v>402.60309999999998</v>
      </c>
      <c r="HD14">
        <f>--401.6876</f>
        <v>401.68759999999997</v>
      </c>
      <c r="HE14">
        <f>--401.4587</f>
        <v>401.45870000000002</v>
      </c>
      <c r="HF14">
        <f>--401.001</f>
        <v>401.00099999999998</v>
      </c>
      <c r="HG14">
        <f>--399.3988</f>
        <v>399.39879999999999</v>
      </c>
      <c r="HH14">
        <f>--399.6277</f>
        <v>399.6277</v>
      </c>
      <c r="HI14">
        <f>--400.0854</f>
        <v>400.08539999999999</v>
      </c>
      <c r="HJ14">
        <f>--401.9165</f>
        <v>401.91649999999998</v>
      </c>
      <c r="HK14">
        <f>--378.5706</f>
        <v>378.57060000000001</v>
      </c>
      <c r="HL14">
        <f>--378.1128</f>
        <v>378.11279999999999</v>
      </c>
      <c r="HM14">
        <f>--402.1454</f>
        <v>402.1454</v>
      </c>
      <c r="HN14">
        <f>--402.1454</f>
        <v>402.1454</v>
      </c>
      <c r="HO14">
        <f>--402.3743</f>
        <v>402.37430000000001</v>
      </c>
      <c r="HP14">
        <f>--402.3743</f>
        <v>402.37430000000001</v>
      </c>
      <c r="HQ14">
        <f>--400.0854</f>
        <v>400.08539999999999</v>
      </c>
      <c r="HR14">
        <f>--443.573</f>
        <v>443.57299999999998</v>
      </c>
      <c r="HS14">
        <f>--484.7717</f>
        <v>484.77170000000001</v>
      </c>
      <c r="HT14">
        <f>--484.0851</f>
        <v>484.08510000000001</v>
      </c>
      <c r="HU14">
        <f>--492.3248</f>
        <v>492.32479999999998</v>
      </c>
      <c r="HV14">
        <f>--400.5432</f>
        <v>400.54320000000001</v>
      </c>
      <c r="HW14">
        <f>--399.6277</f>
        <v>399.6277</v>
      </c>
      <c r="HX14">
        <f>--400.7721</f>
        <v>400.77210000000002</v>
      </c>
      <c r="HY14">
        <f>--400.7721</f>
        <v>400.77210000000002</v>
      </c>
      <c r="HZ14">
        <f>--395.7367</f>
        <v>395.73669999999998</v>
      </c>
      <c r="IA14">
        <f>--394.8212</f>
        <v>394.82119999999998</v>
      </c>
      <c r="IB14">
        <f>--395.9656</f>
        <v>395.96559999999999</v>
      </c>
      <c r="IC14">
        <f>--394.8212</f>
        <v>394.82119999999998</v>
      </c>
      <c r="ID14">
        <f>--399.3988</f>
        <v>399.39879999999999</v>
      </c>
      <c r="IE14">
        <f>--400.3143</f>
        <v>400.3143</v>
      </c>
      <c r="IF14">
        <f>--399.1699</f>
        <v>399.16989999999998</v>
      </c>
      <c r="IG14">
        <f>--400.5432</f>
        <v>400.54320000000001</v>
      </c>
      <c r="IH14">
        <f>--401.4587</f>
        <v>401.45870000000002</v>
      </c>
      <c r="II14">
        <f>--401.2299</f>
        <v>401.22989999999999</v>
      </c>
      <c r="IJ14">
        <f>--401.001</f>
        <v>401.00099999999998</v>
      </c>
      <c r="IK14">
        <f>--401.9165</f>
        <v>401.91649999999998</v>
      </c>
      <c r="IL14">
        <f>--361.6333</f>
        <v>361.63330000000002</v>
      </c>
      <c r="IM14">
        <f>--326.3855</f>
        <v>326.38549999999998</v>
      </c>
      <c r="IN14">
        <f>--404.2053</f>
        <v>404.20530000000002</v>
      </c>
      <c r="IO14">
        <f>--487.0605</f>
        <v>487.06049999999999</v>
      </c>
      <c r="IP14">
        <f>--497.1313</f>
        <v>497.13130000000001</v>
      </c>
      <c r="IQ14">
        <f>--407.8674</f>
        <v>407.86739999999998</v>
      </c>
      <c r="IR14">
        <f>--401.6876</f>
        <v>401.68759999999997</v>
      </c>
      <c r="IS14">
        <f>--408.783</f>
        <v>408.78300000000002</v>
      </c>
      <c r="IT14">
        <f>--402.1454</f>
        <v>402.1454</v>
      </c>
      <c r="IU14">
        <f>--490.9515</f>
        <v>490.95150000000001</v>
      </c>
      <c r="IV14">
        <f>--408.0963</f>
        <v>408.09629999999999</v>
      </c>
      <c r="IW14">
        <f>--405.5786</f>
        <v>405.57859999999999</v>
      </c>
      <c r="IX14">
        <f>--403.2898</f>
        <v>403.28980000000001</v>
      </c>
      <c r="IY14">
        <f>--495.0714</f>
        <v>495.07139999999998</v>
      </c>
      <c r="IZ14">
        <f>--492.3248</f>
        <v>492.32479999999998</v>
      </c>
      <c r="JA14">
        <f>--489.5782</f>
        <v>489.57819999999998</v>
      </c>
      <c r="JB14">
        <f>--485.9161</f>
        <v>485.91609999999997</v>
      </c>
      <c r="JC14">
        <f>--407.8674</f>
        <v>407.86739999999998</v>
      </c>
      <c r="JD14">
        <f>--393.4479</f>
        <v>393.4479</v>
      </c>
      <c r="JE14">
        <f>--395.7367</f>
        <v>395.73669999999998</v>
      </c>
      <c r="JF14">
        <f>--394.5923</f>
        <v>394.59230000000002</v>
      </c>
      <c r="JG14">
        <f>--395.9656</f>
        <v>395.96559999999999</v>
      </c>
      <c r="JH14">
        <f>--402.1454</f>
        <v>402.1454</v>
      </c>
      <c r="JI14">
        <f>--398.0255</f>
        <v>398.02550000000002</v>
      </c>
      <c r="JJ14">
        <f>--403.9764</f>
        <v>403.97640000000001</v>
      </c>
      <c r="JK14">
        <f>--400.0854</f>
        <v>400.08539999999999</v>
      </c>
      <c r="JL14">
        <f>--397.7966</f>
        <v>397.79660000000001</v>
      </c>
      <c r="JM14">
        <f>--402.3743</f>
        <v>402.37430000000001</v>
      </c>
      <c r="JN14">
        <f>--403.2898</f>
        <v>403.28980000000001</v>
      </c>
      <c r="JO14">
        <f>--401.001</f>
        <v>401.00099999999998</v>
      </c>
      <c r="JP14">
        <f>--401.9165</f>
        <v>401.91649999999998</v>
      </c>
      <c r="JQ14">
        <f>--401.6876</f>
        <v>401.68759999999997</v>
      </c>
      <c r="JR14">
        <f>--402.832</f>
        <v>402.83199999999999</v>
      </c>
      <c r="JS14">
        <f>--401.4587</f>
        <v>401.45870000000002</v>
      </c>
      <c r="JT14">
        <f>--400.5432</f>
        <v>400.54320000000001</v>
      </c>
      <c r="JU14">
        <f>--399.3988</f>
        <v>399.39879999999999</v>
      </c>
      <c r="JV14">
        <f>--401.9165</f>
        <v>401.91649999999998</v>
      </c>
      <c r="JW14">
        <f>--400.7721</f>
        <v>400.77210000000002</v>
      </c>
      <c r="JX14">
        <f>--399.6277</f>
        <v>399.6277</v>
      </c>
      <c r="JY14">
        <f>--446.0907</f>
        <v>446.09070000000003</v>
      </c>
      <c r="JZ14">
        <f>--399.3988</f>
        <v>399.39879999999999</v>
      </c>
      <c r="KA14">
        <f>--403.7476</f>
        <v>403.74759999999998</v>
      </c>
      <c r="KB14">
        <f>--400.7721</f>
        <v>400.77210000000002</v>
      </c>
      <c r="KC14">
        <f>--398.7122</f>
        <v>398.7122</v>
      </c>
      <c r="KD14">
        <f>--398.941</f>
        <v>398.94099999999997</v>
      </c>
      <c r="KE14">
        <f>--378.5706</f>
        <v>378.57060000000001</v>
      </c>
      <c r="KF14">
        <f>--399.6277</f>
        <v>399.6277</v>
      </c>
      <c r="KG14">
        <f>--378.3417</f>
        <v>378.3417</v>
      </c>
      <c r="KH14">
        <f>--379.2572</f>
        <v>379.25720000000001</v>
      </c>
      <c r="KI14">
        <f>--378.5706</f>
        <v>378.57060000000001</v>
      </c>
      <c r="KJ14">
        <f>--399.8566</f>
        <v>399.85660000000001</v>
      </c>
      <c r="KK14">
        <f>--400.3143</f>
        <v>400.3143</v>
      </c>
      <c r="KL14">
        <f>--398.941</f>
        <v>398.94099999999997</v>
      </c>
      <c r="KM14">
        <f>--398.7122</f>
        <v>398.7122</v>
      </c>
      <c r="KN14">
        <f>--398.4833</f>
        <v>398.48329999999999</v>
      </c>
      <c r="KO14">
        <f>--398.0255</f>
        <v>398.02550000000002</v>
      </c>
      <c r="KP14">
        <f>--400.0854</f>
        <v>400.08539999999999</v>
      </c>
      <c r="KQ14">
        <f>--404.4342</f>
        <v>404.43419999999998</v>
      </c>
      <c r="KR14">
        <f>--401.6876</f>
        <v>401.68759999999997</v>
      </c>
      <c r="KS14">
        <f>--401.001</f>
        <v>401.00099999999998</v>
      </c>
      <c r="KT14">
        <f>--399.8566</f>
        <v>399.85660000000001</v>
      </c>
      <c r="KU14">
        <f>--400.5432</f>
        <v>400.54320000000001</v>
      </c>
      <c r="KV14">
        <f>--400.7721</f>
        <v>400.77210000000002</v>
      </c>
      <c r="KW14">
        <f>--399.8566</f>
        <v>399.85660000000001</v>
      </c>
      <c r="KX14">
        <f>--398.7122</f>
        <v>398.7122</v>
      </c>
      <c r="KY14">
        <f>--399.8566</f>
        <v>399.85660000000001</v>
      </c>
      <c r="KZ14">
        <f>--399.8566</f>
        <v>399.85660000000001</v>
      </c>
      <c r="LA14">
        <f>--401.6876</f>
        <v>401.68759999999997</v>
      </c>
      <c r="LB14">
        <f>--400.3143</f>
        <v>400.3143</v>
      </c>
      <c r="LC14">
        <f>--398.4833</f>
        <v>398.48329999999999</v>
      </c>
      <c r="LD14">
        <f>--402.832</f>
        <v>402.83199999999999</v>
      </c>
      <c r="LE14">
        <f>--378.1128</f>
        <v>378.11279999999999</v>
      </c>
      <c r="LF14">
        <f>--377.655</f>
        <v>377.65499999999997</v>
      </c>
      <c r="LG14">
        <f>--400.7721</f>
        <v>400.77210000000002</v>
      </c>
      <c r="LH14">
        <f>--401.2299</f>
        <v>401.22989999999999</v>
      </c>
      <c r="LI14">
        <f>--402.832</f>
        <v>402.83199999999999</v>
      </c>
      <c r="LJ14">
        <f>--401.2299</f>
        <v>401.22989999999999</v>
      </c>
      <c r="LK14">
        <f>--401.001</f>
        <v>401.00099999999998</v>
      </c>
      <c r="LL14">
        <f>--403.2898</f>
        <v>403.28980000000001</v>
      </c>
      <c r="LM14">
        <f>--401.2299</f>
        <v>401.22989999999999</v>
      </c>
      <c r="LN14">
        <f>--401.4587</f>
        <v>401.45870000000002</v>
      </c>
      <c r="LO14">
        <f>--480.8807</f>
        <v>480.88069999999999</v>
      </c>
      <c r="LP14">
        <f>--478.8208</f>
        <v>478.82080000000002</v>
      </c>
      <c r="LQ14">
        <f>--485.0006</f>
        <v>485.00060000000002</v>
      </c>
      <c r="LR14">
        <f>--398.0255</f>
        <v>398.02550000000002</v>
      </c>
      <c r="LS14">
        <f>--398.941</f>
        <v>398.94099999999997</v>
      </c>
      <c r="LT14">
        <f>--399.8566</f>
        <v>399.85660000000001</v>
      </c>
      <c r="LU14">
        <f>--397.7966</f>
        <v>397.79660000000001</v>
      </c>
      <c r="LV14">
        <f>--395.9656</f>
        <v>395.96559999999999</v>
      </c>
      <c r="LW14">
        <f>--395.2789</f>
        <v>395.27890000000002</v>
      </c>
      <c r="LX14">
        <f>--394.3634</f>
        <v>394.36340000000001</v>
      </c>
      <c r="LY14">
        <f>--395.05</f>
        <v>395.05</v>
      </c>
      <c r="LZ14">
        <f>--395.7367</f>
        <v>395.73669999999998</v>
      </c>
      <c r="MA14">
        <f>--398.7122</f>
        <v>398.7122</v>
      </c>
      <c r="MB14">
        <f>--394.3634</f>
        <v>394.36340000000001</v>
      </c>
      <c r="MC14">
        <f>--400.7721</f>
        <v>400.77210000000002</v>
      </c>
      <c r="MD14">
        <f>--399.3988</f>
        <v>399.39879999999999</v>
      </c>
      <c r="ME14">
        <f>--398.7122</f>
        <v>398.7122</v>
      </c>
      <c r="MF14">
        <f>--403.7476</f>
        <v>403.74759999999998</v>
      </c>
      <c r="MG14">
        <f>--410.3851</f>
        <v>410.38510000000002</v>
      </c>
      <c r="MH14">
        <f>--414.7339</f>
        <v>414.73390000000001</v>
      </c>
      <c r="MI14">
        <f>--403.2898</f>
        <v>403.28980000000001</v>
      </c>
      <c r="MJ14">
        <f>--402.3743</f>
        <v>402.37430000000001</v>
      </c>
      <c r="MK14">
        <f>--403.2898</f>
        <v>403.28980000000001</v>
      </c>
      <c r="ML14">
        <f>--357.0557</f>
        <v>357.0557</v>
      </c>
      <c r="MM14">
        <f>--321.579</f>
        <v>321.57900000000001</v>
      </c>
      <c r="MN14">
        <f>--484.314</f>
        <v>484.31400000000002</v>
      </c>
      <c r="MO14">
        <f>--491.6382</f>
        <v>491.63819999999998</v>
      </c>
      <c r="MP14">
        <f>--408.783</f>
        <v>408.78300000000002</v>
      </c>
      <c r="MQ14">
        <f>--487.2894</f>
        <v>487.2894</v>
      </c>
      <c r="MR14">
        <f>--495.7581</f>
        <v>495.75810000000001</v>
      </c>
      <c r="MS14">
        <f>--492.3248</f>
        <v>492.32479999999998</v>
      </c>
      <c r="MT14">
        <f>--402.3743</f>
        <v>402.37430000000001</v>
      </c>
      <c r="MU14">
        <f>--410.1563</f>
        <v>410.15629999999999</v>
      </c>
      <c r="MV14">
        <f>--410.3851</f>
        <v>410.38510000000002</v>
      </c>
      <c r="MW14">
        <f>--403.5187</f>
        <v>403.51870000000002</v>
      </c>
      <c r="MX14">
        <f>--492.0959</f>
        <v>492.09589999999997</v>
      </c>
      <c r="MY14">
        <f>--496.4447</f>
        <v>496.44470000000001</v>
      </c>
      <c r="MZ14">
        <f>--489.8071</f>
        <v>489.80709999999999</v>
      </c>
      <c r="NA14">
        <f>--466.9189</f>
        <v>466.91890000000001</v>
      </c>
      <c r="NB14">
        <f>--393.6768</f>
        <v>393.67680000000001</v>
      </c>
      <c r="NC14">
        <f>--396.8811</f>
        <v>396.8811</v>
      </c>
      <c r="ND14">
        <f>--394.5923</f>
        <v>394.59230000000002</v>
      </c>
      <c r="NE14">
        <f>--395.7367</f>
        <v>395.73669999999998</v>
      </c>
      <c r="NF14">
        <f>--396.8811</f>
        <v>396.8811</v>
      </c>
      <c r="NG14">
        <f>--398.0255</f>
        <v>398.02550000000002</v>
      </c>
      <c r="NH14">
        <f>--404.2053</f>
        <v>404.20530000000002</v>
      </c>
      <c r="NI14">
        <f>--398.7122</f>
        <v>398.7122</v>
      </c>
      <c r="NJ14">
        <f>--401.9165</f>
        <v>401.91649999999998</v>
      </c>
      <c r="NK14">
        <f>--398.2544</f>
        <v>398.25439999999998</v>
      </c>
      <c r="NL14">
        <f>--396.8811</f>
        <v>396.8811</v>
      </c>
      <c r="NM14">
        <f>--401.9165</f>
        <v>401.91649999999998</v>
      </c>
      <c r="NN14">
        <f>--397.11</f>
        <v>397.11</v>
      </c>
      <c r="NO14">
        <f>--400.5432</f>
        <v>400.54320000000001</v>
      </c>
      <c r="NP14">
        <f>--402.1454</f>
        <v>402.1454</v>
      </c>
      <c r="NQ14">
        <f>--401.9165</f>
        <v>401.91649999999998</v>
      </c>
      <c r="NR14">
        <f>--401.9165</f>
        <v>401.91649999999998</v>
      </c>
      <c r="NS14">
        <f>--402.1454</f>
        <v>402.1454</v>
      </c>
      <c r="NT14">
        <f>--401.001</f>
        <v>401.00099999999998</v>
      </c>
      <c r="NU14">
        <f>--401.001</f>
        <v>401.00099999999998</v>
      </c>
      <c r="NV14">
        <f>--399.8566</f>
        <v>399.85660000000001</v>
      </c>
      <c r="NW14">
        <f>--418.8538</f>
        <v>418.85379999999998</v>
      </c>
      <c r="NX14">
        <f>--399.1699</f>
        <v>399.16989999999998</v>
      </c>
      <c r="NY14">
        <f>--400.0854</f>
        <v>400.08539999999999</v>
      </c>
      <c r="NZ14">
        <f>--399.6277</f>
        <v>399.6277</v>
      </c>
      <c r="OA14">
        <f>--398.7122</f>
        <v>398.7122</v>
      </c>
      <c r="OB14">
        <f>--378.1128</f>
        <v>378.11279999999999</v>
      </c>
      <c r="OC14">
        <f>--403.2898</f>
        <v>403.28980000000001</v>
      </c>
      <c r="OD14">
        <f>--378.1128</f>
        <v>378.11279999999999</v>
      </c>
      <c r="OE14">
        <f>--377.4261</f>
        <v>377.42610000000002</v>
      </c>
      <c r="OF14">
        <f>--378.3417</f>
        <v>378.3417</v>
      </c>
      <c r="OG14">
        <f>--400.5432</f>
        <v>400.54320000000001</v>
      </c>
      <c r="OH14">
        <f>--400.0854</f>
        <v>400.08539999999999</v>
      </c>
      <c r="OI14">
        <f>--398.941</f>
        <v>398.94099999999997</v>
      </c>
      <c r="OJ14">
        <f>--400.0854</f>
        <v>400.08539999999999</v>
      </c>
      <c r="OK14">
        <f>--400.5432</f>
        <v>400.54320000000001</v>
      </c>
      <c r="OL14">
        <f>--398.941</f>
        <v>398.94099999999997</v>
      </c>
      <c r="OM14">
        <f>--397.7966</f>
        <v>397.79660000000001</v>
      </c>
      <c r="ON14">
        <f>--398.941</f>
        <v>398.94099999999997</v>
      </c>
      <c r="OO14">
        <f>--413.8184</f>
        <v>413.8184</v>
      </c>
      <c r="OP14">
        <f>--403.5187</f>
        <v>403.51870000000002</v>
      </c>
      <c r="OQ14">
        <v>-1</v>
      </c>
      <c r="OR14">
        <v>-1</v>
      </c>
      <c r="OS14">
        <v>-1</v>
      </c>
      <c r="OT14">
        <v>-1</v>
      </c>
      <c r="OU14">
        <v>-1</v>
      </c>
      <c r="OV14">
        <v>-1</v>
      </c>
      <c r="OW14">
        <v>-1</v>
      </c>
      <c r="OX14">
        <v>-1</v>
      </c>
      <c r="OY14">
        <v>-1</v>
      </c>
      <c r="OZ14">
        <v>-1</v>
      </c>
      <c r="PA14">
        <v>-1</v>
      </c>
      <c r="PB14">
        <v>-1</v>
      </c>
      <c r="PC14">
        <v>-1</v>
      </c>
      <c r="PD14">
        <v>-1</v>
      </c>
      <c r="PE14">
        <v>-1</v>
      </c>
      <c r="PF14">
        <v>-1</v>
      </c>
      <c r="PG14">
        <v>-1</v>
      </c>
      <c r="PH14">
        <v>-1</v>
      </c>
      <c r="PI14">
        <v>-1</v>
      </c>
      <c r="PJ14">
        <v>-1</v>
      </c>
      <c r="PK14">
        <v>-1</v>
      </c>
      <c r="PL14">
        <v>-1</v>
      </c>
      <c r="PM14">
        <v>-1</v>
      </c>
      <c r="PN14">
        <v>-1</v>
      </c>
      <c r="PO14">
        <v>-1</v>
      </c>
      <c r="PP14">
        <v>-1</v>
      </c>
      <c r="PQ14">
        <v>-1</v>
      </c>
      <c r="PR14">
        <v>-1</v>
      </c>
      <c r="PS14">
        <v>-1</v>
      </c>
      <c r="PT14">
        <v>-1</v>
      </c>
      <c r="PU14">
        <v>-1</v>
      </c>
      <c r="PV14">
        <v>-1</v>
      </c>
      <c r="PW14">
        <v>-1</v>
      </c>
      <c r="PX14">
        <v>-1</v>
      </c>
      <c r="PY14">
        <v>0</v>
      </c>
      <c r="PZ14">
        <v>-1</v>
      </c>
      <c r="QA14">
        <v>-1</v>
      </c>
      <c r="QB14">
        <v>-1</v>
      </c>
      <c r="QC14">
        <v>-1</v>
      </c>
      <c r="QD14">
        <v>-1</v>
      </c>
      <c r="QE14">
        <v>-1</v>
      </c>
      <c r="QF14">
        <v>-1</v>
      </c>
      <c r="QG14">
        <v>-1</v>
      </c>
      <c r="QH14">
        <v>-1</v>
      </c>
      <c r="QI14">
        <v>-1</v>
      </c>
      <c r="QJ14">
        <v>-1</v>
      </c>
      <c r="QK14">
        <v>-1</v>
      </c>
      <c r="QL14">
        <v>-1</v>
      </c>
    </row>
    <row r="15" spans="1:454" x14ac:dyDescent="0.25">
      <c r="A15" t="s">
        <v>2117</v>
      </c>
      <c r="B15" t="s">
        <v>869</v>
      </c>
      <c r="C15" t="s">
        <v>2118</v>
      </c>
      <c r="D15" t="s">
        <v>939</v>
      </c>
      <c r="E15" t="s">
        <v>2119</v>
      </c>
      <c r="F15" t="s">
        <v>1009</v>
      </c>
      <c r="G15" t="s">
        <v>1210</v>
      </c>
      <c r="H15" t="s">
        <v>1415</v>
      </c>
      <c r="I15" t="s">
        <v>2059</v>
      </c>
      <c r="J15" t="s">
        <v>1003</v>
      </c>
      <c r="K15" t="s">
        <v>2120</v>
      </c>
      <c r="M15" t="s">
        <v>1431</v>
      </c>
      <c r="O15" t="s">
        <v>2121</v>
      </c>
      <c r="P15" t="s">
        <v>1287</v>
      </c>
      <c r="Q15" t="s">
        <v>967</v>
      </c>
      <c r="R15" t="s">
        <v>1013</v>
      </c>
      <c r="S15" t="s">
        <v>1118</v>
      </c>
      <c r="T15" t="s">
        <v>2122</v>
      </c>
      <c r="U15" t="s">
        <v>2123</v>
      </c>
      <c r="V15" t="s">
        <v>2124</v>
      </c>
      <c r="W15" t="s">
        <v>1458</v>
      </c>
      <c r="X15" t="s">
        <v>2125</v>
      </c>
      <c r="Y15" t="s">
        <v>2126</v>
      </c>
      <c r="Z15" t="s">
        <v>1067</v>
      </c>
      <c r="AA15" t="s">
        <v>2127</v>
      </c>
      <c r="AB15" t="s">
        <v>1850</v>
      </c>
      <c r="AD15" t="s">
        <v>1828</v>
      </c>
      <c r="AE15" t="s">
        <v>2128</v>
      </c>
      <c r="AF15" t="s">
        <v>2129</v>
      </c>
      <c r="AG15" t="s">
        <v>1407</v>
      </c>
      <c r="AH15" t="s">
        <v>1746</v>
      </c>
      <c r="AI15" t="s">
        <v>2130</v>
      </c>
      <c r="AJ15" t="s">
        <v>2131</v>
      </c>
      <c r="AK15" t="s">
        <v>2132</v>
      </c>
      <c r="AL15" t="s">
        <v>2133</v>
      </c>
      <c r="AM15" t="s">
        <v>2134</v>
      </c>
      <c r="AN15" t="s">
        <v>2128</v>
      </c>
      <c r="AO15" t="s">
        <v>1765</v>
      </c>
      <c r="AP15" t="s">
        <v>2135</v>
      </c>
      <c r="AQ15" t="s">
        <v>1310</v>
      </c>
      <c r="AR15" t="s">
        <v>2136</v>
      </c>
      <c r="AS15" t="s">
        <v>2137</v>
      </c>
      <c r="AT15" t="s">
        <v>1914</v>
      </c>
      <c r="AU15" t="s">
        <v>2138</v>
      </c>
      <c r="AV15" t="s">
        <v>2139</v>
      </c>
      <c r="AW15" t="s">
        <v>1556</v>
      </c>
      <c r="AX15" t="s">
        <v>1510</v>
      </c>
      <c r="AY15" t="s">
        <v>1378</v>
      </c>
      <c r="AZ15" t="s">
        <v>1556</v>
      </c>
      <c r="BA15" t="s">
        <v>2140</v>
      </c>
      <c r="BB15" t="s">
        <v>1613</v>
      </c>
      <c r="BC15" t="s">
        <v>1448</v>
      </c>
      <c r="BD15" t="s">
        <v>1274</v>
      </c>
      <c r="BE15" t="s">
        <v>2141</v>
      </c>
      <c r="BF15" t="s">
        <v>2142</v>
      </c>
      <c r="BG15" t="s">
        <v>2143</v>
      </c>
      <c r="BH15" t="s">
        <v>2144</v>
      </c>
      <c r="BI15" t="s">
        <v>993</v>
      </c>
      <c r="BJ15" t="s">
        <v>1523</v>
      </c>
      <c r="BK15" t="s">
        <v>967</v>
      </c>
      <c r="BL15" t="s">
        <v>960</v>
      </c>
      <c r="BM15" t="s">
        <v>1827</v>
      </c>
      <c r="BN15" t="s">
        <v>1341</v>
      </c>
      <c r="BO15" t="s">
        <v>1554</v>
      </c>
      <c r="BP15" t="s">
        <v>1862</v>
      </c>
      <c r="BQ15" t="s">
        <v>2145</v>
      </c>
      <c r="BS15" t="s">
        <v>2146</v>
      </c>
      <c r="BT15" t="s">
        <v>2147</v>
      </c>
      <c r="BU15" t="s">
        <v>2148</v>
      </c>
      <c r="BV15" t="s">
        <v>2149</v>
      </c>
      <c r="BW15" t="s">
        <v>1746</v>
      </c>
      <c r="BX15" t="s">
        <v>1160</v>
      </c>
      <c r="BY15" t="s">
        <v>2017</v>
      </c>
      <c r="BZ15" t="s">
        <v>2150</v>
      </c>
      <c r="CA15" t="s">
        <v>1430</v>
      </c>
      <c r="CB15" t="s">
        <v>1350</v>
      </c>
      <c r="CC15" t="s">
        <v>2151</v>
      </c>
      <c r="CD15" t="s">
        <v>872</v>
      </c>
      <c r="CE15" t="s">
        <v>2152</v>
      </c>
      <c r="CF15" t="s">
        <v>1015</v>
      </c>
      <c r="CG15" t="s">
        <v>2153</v>
      </c>
      <c r="CH15" t="s">
        <v>1212</v>
      </c>
      <c r="CI15" t="s">
        <v>1741</v>
      </c>
      <c r="CJ15" t="s">
        <v>1893</v>
      </c>
      <c r="CK15" t="s">
        <v>1965</v>
      </c>
      <c r="CL15" t="s">
        <v>2154</v>
      </c>
      <c r="CM15" t="s">
        <v>1219</v>
      </c>
      <c r="CN15" t="s">
        <v>956</v>
      </c>
      <c r="CO15" t="s">
        <v>957</v>
      </c>
      <c r="CQ15" t="s">
        <v>2155</v>
      </c>
      <c r="CR15" t="s">
        <v>2156</v>
      </c>
      <c r="CS15" t="s">
        <v>2157</v>
      </c>
      <c r="CT15" t="s">
        <v>1575</v>
      </c>
      <c r="CU15" t="s">
        <v>2007</v>
      </c>
      <c r="CV15" t="s">
        <v>2158</v>
      </c>
      <c r="CW15" t="s">
        <v>2159</v>
      </c>
      <c r="CX15" t="s">
        <v>2017</v>
      </c>
      <c r="CY15" t="s">
        <v>1304</v>
      </c>
      <c r="CZ15" t="s">
        <v>2160</v>
      </c>
      <c r="DA15" t="s">
        <v>1342</v>
      </c>
      <c r="DB15" t="s">
        <v>2161</v>
      </c>
      <c r="DC15" t="s">
        <v>2162</v>
      </c>
      <c r="DD15" t="s">
        <v>1437</v>
      </c>
      <c r="DF15" t="s">
        <v>1247</v>
      </c>
      <c r="DG15" t="s">
        <v>930</v>
      </c>
      <c r="DH15" t="s">
        <v>893</v>
      </c>
      <c r="DI15" t="s">
        <v>2018</v>
      </c>
      <c r="DJ15" t="s">
        <v>1906</v>
      </c>
      <c r="DK15" t="s">
        <v>1250</v>
      </c>
      <c r="DM15" t="s">
        <v>2163</v>
      </c>
      <c r="DO15" t="s">
        <v>2164</v>
      </c>
      <c r="DP15" t="s">
        <v>1285</v>
      </c>
      <c r="DQ15" t="s">
        <v>2113</v>
      </c>
      <c r="DR15" t="s">
        <v>2165</v>
      </c>
      <c r="DS15" t="s">
        <v>1105</v>
      </c>
      <c r="DT15" t="s">
        <v>976</v>
      </c>
      <c r="DU15" t="s">
        <v>2166</v>
      </c>
      <c r="DV15" t="s">
        <v>1038</v>
      </c>
      <c r="DW15" t="s">
        <v>2167</v>
      </c>
      <c r="DX15" t="s">
        <v>929</v>
      </c>
      <c r="DY15" t="s">
        <v>2168</v>
      </c>
      <c r="DZ15" t="s">
        <v>2169</v>
      </c>
      <c r="EA15" t="s">
        <v>1680</v>
      </c>
      <c r="EB15" t="s">
        <v>2170</v>
      </c>
      <c r="EC15" t="s">
        <v>895</v>
      </c>
      <c r="ED15" t="s">
        <v>1637</v>
      </c>
      <c r="EE15" t="s">
        <v>1406</v>
      </c>
      <c r="EG15" t="s">
        <v>2171</v>
      </c>
      <c r="EH15" t="s">
        <v>2172</v>
      </c>
      <c r="EI15" t="s">
        <v>2173</v>
      </c>
      <c r="EJ15" t="s">
        <v>2174</v>
      </c>
      <c r="EK15" t="s">
        <v>2175</v>
      </c>
      <c r="EL15" t="s">
        <v>2176</v>
      </c>
      <c r="EM15" t="s">
        <v>1337</v>
      </c>
      <c r="EN15" t="s">
        <v>1082</v>
      </c>
      <c r="EO15" t="s">
        <v>2177</v>
      </c>
      <c r="EP15" t="s">
        <v>2178</v>
      </c>
      <c r="EQ15" t="s">
        <v>1228</v>
      </c>
      <c r="ER15" t="s">
        <v>2179</v>
      </c>
      <c r="ES15" t="s">
        <v>2180</v>
      </c>
      <c r="ET15" t="s">
        <v>2181</v>
      </c>
      <c r="EV15" t="s">
        <v>1366</v>
      </c>
      <c r="EW15" t="s">
        <v>1435</v>
      </c>
      <c r="EX15" t="s">
        <v>2182</v>
      </c>
      <c r="EY15" t="s">
        <v>2183</v>
      </c>
      <c r="EZ15" t="s">
        <v>2184</v>
      </c>
      <c r="FA15" t="s">
        <v>2185</v>
      </c>
      <c r="FB15" t="s">
        <v>2186</v>
      </c>
      <c r="FC15" t="s">
        <v>959</v>
      </c>
      <c r="FD15" t="s">
        <v>2187</v>
      </c>
      <c r="FF15" t="s">
        <v>2188</v>
      </c>
      <c r="FH15" t="s">
        <v>2026</v>
      </c>
      <c r="FI15" t="s">
        <v>1154</v>
      </c>
      <c r="FJ15" t="s">
        <v>2189</v>
      </c>
      <c r="FK15" t="s">
        <v>2190</v>
      </c>
      <c r="FL15" t="s">
        <v>960</v>
      </c>
      <c r="FN15" t="s">
        <v>2191</v>
      </c>
      <c r="FO15" t="s">
        <v>1864</v>
      </c>
      <c r="FP15" t="s">
        <v>928</v>
      </c>
      <c r="FQ15" t="s">
        <v>928</v>
      </c>
      <c r="FR15" t="s">
        <v>2120</v>
      </c>
      <c r="FS15" t="s">
        <v>2026</v>
      </c>
      <c r="FT15" t="s">
        <v>1375</v>
      </c>
      <c r="FV15" t="s">
        <v>1084</v>
      </c>
      <c r="FW15" t="s">
        <v>2013</v>
      </c>
      <c r="FX15" t="s">
        <v>1347</v>
      </c>
      <c r="FY15" t="s">
        <v>1098</v>
      </c>
      <c r="FZ15" t="s">
        <v>1272</v>
      </c>
      <c r="GA15" t="s">
        <v>1520</v>
      </c>
      <c r="GB15" t="s">
        <v>878</v>
      </c>
      <c r="GC15" t="s">
        <v>2192</v>
      </c>
      <c r="GD15" t="s">
        <v>1243</v>
      </c>
      <c r="GE15" t="s">
        <v>1280</v>
      </c>
      <c r="GF15" t="s">
        <v>1212</v>
      </c>
      <c r="GG15" t="s">
        <v>2193</v>
      </c>
      <c r="GI15" t="s">
        <v>1345</v>
      </c>
      <c r="GJ15" t="s">
        <v>1231</v>
      </c>
      <c r="GK15" t="s">
        <v>1581</v>
      </c>
      <c r="GL15" t="s">
        <v>2194</v>
      </c>
      <c r="GM15" t="s">
        <v>2195</v>
      </c>
      <c r="GN15" t="s">
        <v>1661</v>
      </c>
      <c r="GO15" t="s">
        <v>1500</v>
      </c>
      <c r="GP15" t="s">
        <v>1269</v>
      </c>
      <c r="GQ15" t="s">
        <v>1231</v>
      </c>
      <c r="GR15" t="s">
        <v>1255</v>
      </c>
      <c r="GS15" t="s">
        <v>2156</v>
      </c>
      <c r="GT15" t="s">
        <v>2196</v>
      </c>
      <c r="GV15" t="s">
        <v>1745</v>
      </c>
      <c r="GW15">
        <f>-404.4342--403.7476</f>
        <v>-0.68659999999999854</v>
      </c>
      <c r="GX15">
        <f>-399.6277--398.941</f>
        <v>-0.68670000000003029</v>
      </c>
      <c r="GY15">
        <f>-400.0854--400.5432</f>
        <v>0.45780000000002019</v>
      </c>
      <c r="GZ15">
        <f>-401.9165--402.3743</f>
        <v>0.45780000000002019</v>
      </c>
      <c r="HA15">
        <f>-403.5187--403.0609</f>
        <v>-0.45780000000002019</v>
      </c>
      <c r="HB15">
        <f>-401.4587--401.001</f>
        <v>-0.45770000000004529</v>
      </c>
      <c r="HD15">
        <f>-403.2898--403.7476</f>
        <v>0.45779999999996335</v>
      </c>
      <c r="HE15">
        <f>-401.001--401.4587</f>
        <v>0.45770000000004529</v>
      </c>
      <c r="HG15">
        <f>-401.4587--401.6876</f>
        <v>0.22889999999995325</v>
      </c>
      <c r="HI15">
        <f>-403.7476--404.4342</f>
        <v>0.68659999999999854</v>
      </c>
      <c r="HK15">
        <f>-378.5706--378.7994</f>
        <v>0.22879999999997835</v>
      </c>
      <c r="HL15">
        <f>-379.9438--379.715</f>
        <v>-0.2288000000000352</v>
      </c>
      <c r="HM15">
        <f>-400.0854--399.3988</f>
        <v>-0.68659999999999854</v>
      </c>
      <c r="HN15">
        <f>-403.0609--403.9764</f>
        <v>0.91550000000000864</v>
      </c>
      <c r="HO15">
        <f>-399.8566--400.3143</f>
        <v>0.45769999999998845</v>
      </c>
      <c r="HP15">
        <f>-400.0854--401.2299</f>
        <v>1.1444999999999936</v>
      </c>
      <c r="HQ15">
        <f>-402.832--402.6031</f>
        <v>-0.2289000000000101</v>
      </c>
      <c r="HR15">
        <f>-443.3441--442.8864</f>
        <v>-0.45770000000004529</v>
      </c>
      <c r="HS15">
        <f>-486.8317--486.3739</f>
        <v>-0.45780000000002019</v>
      </c>
      <c r="HT15">
        <f>-484.7717--483.8562</f>
        <v>-0.91550000000000864</v>
      </c>
      <c r="HU15">
        <f>-491.8671--491.6382</f>
        <v>-0.2289000000000101</v>
      </c>
      <c r="HV15">
        <f>-402.3743--401.6876</f>
        <v>-0.68670000000003029</v>
      </c>
      <c r="HW15">
        <f>-402.1454--401.9165</f>
        <v>-0.2289000000000101</v>
      </c>
      <c r="HX15">
        <f>-401.4587--399.3988</f>
        <v>-2.0599000000000274</v>
      </c>
      <c r="HZ15">
        <f>-399.3988--400.0854</f>
        <v>0.68659999999999854</v>
      </c>
      <c r="IA15">
        <f>-399.8566--399.3988</f>
        <v>-0.45780000000002019</v>
      </c>
      <c r="ID15">
        <f>-403.5187--402.832</f>
        <v>-0.68670000000003029</v>
      </c>
      <c r="IE15">
        <f>-404.2053--404.4342</f>
        <v>0.22889999999995325</v>
      </c>
      <c r="IF15">
        <f>-402.6031--402.832</f>
        <v>0.2289000000000101</v>
      </c>
      <c r="IG15">
        <f>-404.892--405.1208</f>
        <v>0.22879999999997835</v>
      </c>
      <c r="II15">
        <f>-404.892--405.3497</f>
        <v>0.45769999999998845</v>
      </c>
      <c r="IJ15">
        <f>-403.9764--403.7476</f>
        <v>-0.2288000000000352</v>
      </c>
      <c r="IK15">
        <f>-403.5187--404.2053</f>
        <v>0.68659999999999854</v>
      </c>
      <c r="IL15">
        <f>-362.7777--363.0066</f>
        <v>0.2289000000000101</v>
      </c>
      <c r="IM15">
        <f>-327.301--327.5299</f>
        <v>0.2289000000000101</v>
      </c>
      <c r="IN15">
        <f>-410.3851--410.614</f>
        <v>0.22889999999995325</v>
      </c>
      <c r="IO15">
        <f>-493.0115--492.3248</f>
        <v>-0.68670000000003029</v>
      </c>
      <c r="IP15">
        <f>-493.2404--492.5537</f>
        <v>-0.68670000000003029</v>
      </c>
      <c r="IQ15">
        <f>-404.892--404.6631</f>
        <v>-0.2289000000000101</v>
      </c>
      <c r="IR15">
        <f>-410.8429--409.6985</f>
        <v>-1.1443999999999619</v>
      </c>
      <c r="IT15">
        <f>-408.5541--408.3252</f>
        <v>-0.2289000000000101</v>
      </c>
      <c r="IU15">
        <f>-486.8317--487.9761</f>
        <v>1.1443999999999619</v>
      </c>
      <c r="IV15">
        <f>-408.783--409.2407</f>
        <v>0.45769999999998845</v>
      </c>
      <c r="IW15">
        <f>-406.0364--406.2653</f>
        <v>0.2289000000000101</v>
      </c>
      <c r="IX15">
        <f>-403.7476--404.2053</f>
        <v>0.45770000000004529</v>
      </c>
      <c r="IY15">
        <f>-493.6981--493.4692</f>
        <v>-0.2289000000000101</v>
      </c>
      <c r="IZ15">
        <f>-490.4938--490.036</f>
        <v>-0.45780000000002019</v>
      </c>
      <c r="JA15">
        <f>-490.036--490.4938</f>
        <v>0.45780000000002019</v>
      </c>
      <c r="JB15">
        <f>-490.7227--489.8071</f>
        <v>-0.91559999999998354</v>
      </c>
      <c r="JC15">
        <f>-412.674--411.5295</f>
        <v>-1.1444999999999936</v>
      </c>
      <c r="JD15">
        <f>-392.7612--392.0746</f>
        <v>-0.68659999999999854</v>
      </c>
      <c r="JE15">
        <f>-396.4233--395.9656</f>
        <v>-0.45769999999998845</v>
      </c>
      <c r="JF15">
        <f>-396.8811--395.7367</f>
        <v>-1.1444000000000187</v>
      </c>
      <c r="JG15">
        <f>-394.5923--393.9056</f>
        <v>-0.68670000000003029</v>
      </c>
      <c r="JH15">
        <f>-400.5432--400.0854</f>
        <v>-0.45780000000002019</v>
      </c>
      <c r="JI15">
        <f>-395.5078--395.9656</f>
        <v>0.45780000000002019</v>
      </c>
      <c r="JK15">
        <f>-399.6277--401.001</f>
        <v>1.373299999999972</v>
      </c>
      <c r="JL15">
        <f>-394.1345--393.9056</f>
        <v>-0.2289000000000101</v>
      </c>
      <c r="JM15">
        <f>-399.3988--400.3143</f>
        <v>0.91550000000000864</v>
      </c>
      <c r="JN15">
        <f>-400.0854--399.8566</f>
        <v>-0.22879999999997835</v>
      </c>
      <c r="JO15">
        <f>-401.4587--400.5432</f>
        <v>-0.91550000000000864</v>
      </c>
      <c r="JP15">
        <f>-398.0255--398.2544</f>
        <v>0.22889999999995325</v>
      </c>
      <c r="JQ15">
        <f>-398.2544--398.4833</f>
        <v>0.2289000000000101</v>
      </c>
      <c r="JR15">
        <f>-401.2299--401.001</f>
        <v>-0.2289000000000101</v>
      </c>
      <c r="JS15">
        <f>-402.832--402.3743</f>
        <v>-0.45769999999998845</v>
      </c>
      <c r="JT15">
        <f>-400.3143--400.0854</f>
        <v>-0.2289000000000101</v>
      </c>
      <c r="JU15">
        <f>-401.4587--401.9165</f>
        <v>0.45779999999996335</v>
      </c>
      <c r="JV15">
        <f>-398.0255--398.7122</f>
        <v>0.68669999999997344</v>
      </c>
      <c r="JW15">
        <f>-399.6277--401.001</f>
        <v>1.373299999999972</v>
      </c>
      <c r="JX15">
        <f>-397.5677--398.0255</f>
        <v>0.45780000000002019</v>
      </c>
      <c r="JY15">
        <f>-444.4885--444.0308</f>
        <v>-0.45769999999998845</v>
      </c>
      <c r="JZ15">
        <f>-399.8566--398.941</f>
        <v>-0.91560000000004038</v>
      </c>
      <c r="KB15">
        <f>-398.0255--398.7122</f>
        <v>0.68669999999997344</v>
      </c>
      <c r="KC15">
        <f>-398.7122--398.0255</f>
        <v>-0.68669999999997344</v>
      </c>
      <c r="KD15">
        <f>-398.4833--398.0255</f>
        <v>-0.45779999999996335</v>
      </c>
      <c r="KE15">
        <f>-375.824--376.7395</f>
        <v>0.91550000000000864</v>
      </c>
      <c r="KF15">
        <f>-398.0255--397.7966</f>
        <v>-0.2289000000000101</v>
      </c>
      <c r="KG15">
        <f>-376.5106--377.1973</f>
        <v>0.68669999999997344</v>
      </c>
      <c r="KH15">
        <f>-378.7994--378.5706</f>
        <v>-0.22879999999997835</v>
      </c>
      <c r="KJ15">
        <f>-398.0255--397.7966</f>
        <v>-0.2289000000000101</v>
      </c>
      <c r="KK15">
        <f>-398.4833--399.1699</f>
        <v>0.68659999999999854</v>
      </c>
      <c r="KL15">
        <f>-398.2544--398.4833</f>
        <v>0.2289000000000101</v>
      </c>
      <c r="KM15">
        <f>-398.2544--398.4833</f>
        <v>0.2289000000000101</v>
      </c>
      <c r="KN15">
        <f>-399.1699--399.6277</f>
        <v>0.45780000000002019</v>
      </c>
      <c r="KO15">
        <f>-400.3143--398.7122</f>
        <v>-1.6021000000000072</v>
      </c>
      <c r="KP15">
        <f>-401.6876--409.4696</f>
        <v>7.7820000000000391</v>
      </c>
      <c r="KQ15">
        <f>-409.4696--410.8429</f>
        <v>1.373299999999972</v>
      </c>
      <c r="KR15">
        <f>-400.5432--401.2299</f>
        <v>0.68669999999997344</v>
      </c>
      <c r="KS15">
        <f>-401.9165--402.1454</f>
        <v>0.2289000000000101</v>
      </c>
      <c r="KT15">
        <f>-400.7721--402.3743</f>
        <v>1.6021999999999821</v>
      </c>
      <c r="KU15">
        <f>-402.3743--401.9165</f>
        <v>-0.45780000000002019</v>
      </c>
      <c r="KV15">
        <f>-403.0609--407.8674</f>
        <v>4.8064999999999714</v>
      </c>
      <c r="KW15">
        <f>-402.3743--401.9165</f>
        <v>-0.45780000000002019</v>
      </c>
      <c r="KX15">
        <f>-401.2299--401.4587</f>
        <v>0.2288000000000352</v>
      </c>
      <c r="KY15">
        <f>-402.3743--401.9165</f>
        <v>-0.45780000000002019</v>
      </c>
      <c r="KZ15">
        <f>-401.4587--402.6031</f>
        <v>1.1443999999999619</v>
      </c>
      <c r="LA15">
        <f>-402.6031--401.9165</f>
        <v>-0.68659999999999854</v>
      </c>
      <c r="LB15">
        <f>-403.5187--403.7476</f>
        <v>0.22889999999995325</v>
      </c>
      <c r="LC15">
        <f>-403.2898--402.3743</f>
        <v>-0.91550000000000864</v>
      </c>
      <c r="LD15">
        <f>-403.7476--404.4342</f>
        <v>0.68659999999999854</v>
      </c>
      <c r="LE15">
        <f>-380.1727--379.4861</f>
        <v>-0.68659999999999854</v>
      </c>
      <c r="LF15">
        <f>-378.5706--377.8839</f>
        <v>-0.68670000000003029</v>
      </c>
      <c r="LG15">
        <f>-402.1454--401.6876</f>
        <v>-0.45780000000002019</v>
      </c>
      <c r="LH15">
        <f>-402.6031--402.832</f>
        <v>0.2289000000000101</v>
      </c>
      <c r="LI15">
        <f>-402.1454--403.5187</f>
        <v>1.3733000000000288</v>
      </c>
      <c r="LJ15">
        <f>-401.4587--401.2299</f>
        <v>-0.2288000000000352</v>
      </c>
      <c r="LK15">
        <f>-401.4587--401.2299</f>
        <v>-0.2288000000000352</v>
      </c>
      <c r="LL15">
        <f>-404.4342--403.7476</f>
        <v>-0.68659999999999854</v>
      </c>
      <c r="LM15">
        <f>-409.6985--409.2407</f>
        <v>-0.45780000000002019</v>
      </c>
      <c r="LN15">
        <f>-397.5677--398.4833</f>
        <v>0.91559999999998354</v>
      </c>
      <c r="LO15">
        <f>-480.1941--479.9652</f>
        <v>-0.2289000000000101</v>
      </c>
      <c r="LR15">
        <f>-401.001--400.0854</f>
        <v>-0.91559999999998354</v>
      </c>
      <c r="LS15">
        <f>-400.7721--399.8566</f>
        <v>-0.91550000000000864</v>
      </c>
      <c r="LT15">
        <f>-403.0609--401.9165</f>
        <v>-1.1444000000000187</v>
      </c>
      <c r="LU15">
        <f>-398.941--397.7966</f>
        <v>-1.1443999999999619</v>
      </c>
      <c r="LV15">
        <f>-397.7966--397.3389</f>
        <v>-0.45769999999998845</v>
      </c>
      <c r="LW15">
        <f>-399.1699--398.4833</f>
        <v>-0.68659999999999854</v>
      </c>
      <c r="LX15">
        <f>-401.001--401.4587</f>
        <v>0.45770000000004529</v>
      </c>
      <c r="LY15">
        <f>-398.941--398.4833</f>
        <v>-0.45769999999998845</v>
      </c>
      <c r="MA15">
        <f>-401.001--401.2299</f>
        <v>0.2289000000000101</v>
      </c>
      <c r="MB15">
        <f>-400.0854--399.1699</f>
        <v>-0.91550000000000864</v>
      </c>
      <c r="MC15">
        <f>-403.9764--404.2053</f>
        <v>0.2289000000000101</v>
      </c>
      <c r="MD15">
        <f>-403.7476--402.1454</f>
        <v>-1.6021999999999821</v>
      </c>
      <c r="ME15">
        <f>-401.4587--401.001</f>
        <v>-0.45770000000004529</v>
      </c>
      <c r="MF15">
        <f>-405.3497--406.2653</f>
        <v>0.91560000000004038</v>
      </c>
      <c r="MG15">
        <f>-412.9028--413.3606</f>
        <v>0.45779999999996335</v>
      </c>
      <c r="MH15">
        <f>-416.3361--416.5649</f>
        <v>0.2288000000000352</v>
      </c>
      <c r="MI15">
        <f>-405.1208--411.9873</f>
        <v>6.8665000000000305</v>
      </c>
      <c r="MJ15">
        <f>-402.832--403.5187</f>
        <v>0.68670000000003029</v>
      </c>
      <c r="MK15">
        <f>-403.9764--404.2053</f>
        <v>0.2289000000000101</v>
      </c>
      <c r="ML15">
        <f>-357.5134--357.9712</f>
        <v>0.45780000000002019</v>
      </c>
      <c r="MM15">
        <f>-322.2656--322.4945</f>
        <v>0.2289000000000101</v>
      </c>
      <c r="MN15">
        <f>-485.9161--485.4584</f>
        <v>-0.45769999999998845</v>
      </c>
      <c r="MQ15">
        <f>-489.8071--490.036</f>
        <v>0.2289000000000101</v>
      </c>
      <c r="MR15">
        <f>-489.8071--490.2649</f>
        <v>0.45780000000002019</v>
      </c>
      <c r="MS15">
        <f>-493.2404--494.8425</f>
        <v>1.6020999999999503</v>
      </c>
      <c r="MT15">
        <f>-406.723--407.1808</f>
        <v>0.45779999999996335</v>
      </c>
      <c r="MU15">
        <f>-410.8429--412.2162</f>
        <v>1.3733000000000288</v>
      </c>
      <c r="MW15">
        <f>-411.3007--410.614</f>
        <v>-0.68670000000003029</v>
      </c>
      <c r="MX15">
        <f>-491.6382--493.4692</f>
        <v>1.8310000000000173</v>
      </c>
      <c r="MY15">
        <f>-496.6736--497.3602</f>
        <v>0.68659999999999854</v>
      </c>
      <c r="MZ15">
        <f>-492.0959--490.2649</f>
        <v>-1.8309999999999604</v>
      </c>
      <c r="NA15">
        <f>-469.4366--469.8944</f>
        <v>0.45780000000002019</v>
      </c>
      <c r="NB15">
        <f>-394.3634--393.4479</f>
        <v>-0.91550000000000864</v>
      </c>
      <c r="NC15">
        <f>-397.3389--396.6522</f>
        <v>-0.68670000000003029</v>
      </c>
      <c r="ND15">
        <f>-397.11--397.7966</f>
        <v>0.68659999999999854</v>
      </c>
      <c r="NE15">
        <f>-395.7367--398.0255</f>
        <v>2.2888000000000375</v>
      </c>
      <c r="NF15">
        <f>-396.1945--395.05</f>
        <v>-1.1444999999999936</v>
      </c>
      <c r="NG15">
        <f>-395.5078--394.5923</f>
        <v>-0.9154999999999518</v>
      </c>
      <c r="NH15">
        <f>-400.7721--401.001</f>
        <v>0.22889999999995325</v>
      </c>
      <c r="NI15">
        <f>-394.8212--395.7367</f>
        <v>0.91550000000000864</v>
      </c>
      <c r="NJ15">
        <f>-399.6277--399.8566</f>
        <v>0.2289000000000101</v>
      </c>
      <c r="NL15">
        <f>-395.9656--396.1945</f>
        <v>0.2289000000000101</v>
      </c>
      <c r="NM15">
        <f>-399.6277--399.3988</f>
        <v>-0.2289000000000101</v>
      </c>
      <c r="NO15">
        <f>-398.2544--397.7966</f>
        <v>-0.45779999999996335</v>
      </c>
      <c r="NP15">
        <f>-399.3988--400.0854</f>
        <v>0.68659999999999854</v>
      </c>
      <c r="NR15">
        <f>-400.5432--400.7721</f>
        <v>0.2289000000000101</v>
      </c>
      <c r="NS15">
        <f>-398.941--399.3988</f>
        <v>0.45780000000002019</v>
      </c>
      <c r="NT15">
        <f>-399.8566--398.4833</f>
        <v>-1.3733000000000288</v>
      </c>
      <c r="NU15">
        <f>-400.5432--401.6876</f>
        <v>1.1443999999999619</v>
      </c>
      <c r="NV15">
        <f>-397.5677--397.7966</f>
        <v>0.2289000000000101</v>
      </c>
      <c r="NW15">
        <f>-414.2761--414.505</f>
        <v>0.2289000000000101</v>
      </c>
      <c r="NX15">
        <f>-400.0854--400.5432</f>
        <v>0.45780000000002019</v>
      </c>
      <c r="NZ15">
        <f>-397.7966--398.2544</f>
        <v>0.45779999999996335</v>
      </c>
      <c r="OA15">
        <f>-398.2544--399.8566</f>
        <v>1.6022000000000389</v>
      </c>
      <c r="OB15">
        <f>-376.5106--376.7395</f>
        <v>0.2289000000000101</v>
      </c>
      <c r="OC15">
        <f>-399.8566--399.6277</f>
        <v>-0.2289000000000101</v>
      </c>
      <c r="OF15">
        <f>-377.655--377.4261</f>
        <v>-0.22889999999995325</v>
      </c>
      <c r="OG15">
        <f>-398.4833--399.1699</f>
        <v>0.68659999999999854</v>
      </c>
      <c r="OH15">
        <f>-399.1699--400.3143</f>
        <v>1.1444000000000187</v>
      </c>
      <c r="OI15">
        <f>-398.941--399.8566</f>
        <v>0.91560000000004038</v>
      </c>
      <c r="OJ15">
        <f>-400.7721--402.3743</f>
        <v>1.6021999999999821</v>
      </c>
      <c r="OK15">
        <f>-397.11--397.5677</f>
        <v>0.45769999999998845</v>
      </c>
      <c r="OL15">
        <f>-399.8566--399.6277</f>
        <v>-0.2289000000000101</v>
      </c>
      <c r="OM15">
        <f>-398.0255--398.7122</f>
        <v>0.68669999999997344</v>
      </c>
      <c r="ON15">
        <f>-399.6277--400.0854</f>
        <v>0.45769999999998845</v>
      </c>
      <c r="OO15">
        <f>-419.0826--419.7693</f>
        <v>0.68669999999997344</v>
      </c>
      <c r="OP15">
        <f>-405.8075--406.4941</f>
        <v>0.68659999999999854</v>
      </c>
      <c r="PY15" t="s">
        <v>1532</v>
      </c>
      <c r="QE15">
        <v>-1</v>
      </c>
      <c r="QF15">
        <v>-1</v>
      </c>
      <c r="QG15">
        <v>-1</v>
      </c>
      <c r="QH15">
        <v>-1</v>
      </c>
      <c r="QI15">
        <v>-1</v>
      </c>
      <c r="QJ15">
        <v>-1</v>
      </c>
      <c r="QK15">
        <v>-1</v>
      </c>
      <c r="QL15">
        <v>-1</v>
      </c>
    </row>
    <row r="16" spans="1:454" x14ac:dyDescent="0.25">
      <c r="A16" t="s">
        <v>2197</v>
      </c>
      <c r="B16" t="s">
        <v>1292</v>
      </c>
      <c r="C16" t="s">
        <v>930</v>
      </c>
      <c r="E16" t="s">
        <v>2026</v>
      </c>
      <c r="F16" t="s">
        <v>1101</v>
      </c>
      <c r="J16" t="s">
        <v>1414</v>
      </c>
      <c r="K16" t="s">
        <v>1091</v>
      </c>
      <c r="L16" t="s">
        <v>1250</v>
      </c>
      <c r="M16" t="s">
        <v>873</v>
      </c>
      <c r="N16" t="s">
        <v>934</v>
      </c>
      <c r="O16" t="s">
        <v>1665</v>
      </c>
      <c r="P16" t="s">
        <v>1351</v>
      </c>
      <c r="Q16" t="s">
        <v>2198</v>
      </c>
      <c r="R16" t="s">
        <v>1685</v>
      </c>
      <c r="S16" t="s">
        <v>2199</v>
      </c>
      <c r="T16" t="s">
        <v>927</v>
      </c>
      <c r="U16" t="s">
        <v>1044</v>
      </c>
      <c r="V16" t="s">
        <v>892</v>
      </c>
      <c r="W16" t="s">
        <v>1414</v>
      </c>
      <c r="X16" t="s">
        <v>2200</v>
      </c>
      <c r="Y16" t="s">
        <v>2201</v>
      </c>
      <c r="Z16" t="s">
        <v>2202</v>
      </c>
      <c r="AB16" t="s">
        <v>2203</v>
      </c>
      <c r="AD16" t="s">
        <v>2204</v>
      </c>
      <c r="AE16" t="s">
        <v>2205</v>
      </c>
      <c r="AF16" t="s">
        <v>1599</v>
      </c>
      <c r="AG16" t="s">
        <v>1637</v>
      </c>
      <c r="AH16" t="s">
        <v>1506</v>
      </c>
      <c r="AI16" t="s">
        <v>1154</v>
      </c>
      <c r="AJ16" t="s">
        <v>1456</v>
      </c>
      <c r="AK16" t="s">
        <v>2012</v>
      </c>
      <c r="AL16" t="s">
        <v>1158</v>
      </c>
      <c r="AM16" t="s">
        <v>1229</v>
      </c>
      <c r="AN16" t="s">
        <v>1685</v>
      </c>
      <c r="AP16" t="s">
        <v>1195</v>
      </c>
      <c r="AQ16" t="s">
        <v>1298</v>
      </c>
      <c r="AR16" t="s">
        <v>2206</v>
      </c>
      <c r="AS16" t="s">
        <v>2207</v>
      </c>
      <c r="AV16" t="s">
        <v>2208</v>
      </c>
      <c r="AW16" t="s">
        <v>1457</v>
      </c>
      <c r="AY16" t="s">
        <v>949</v>
      </c>
      <c r="AZ16" t="s">
        <v>1223</v>
      </c>
      <c r="BA16" t="s">
        <v>2209</v>
      </c>
      <c r="BB16" t="s">
        <v>2210</v>
      </c>
      <c r="BC16" t="s">
        <v>1194</v>
      </c>
      <c r="BE16" t="s">
        <v>2211</v>
      </c>
      <c r="BF16" t="s">
        <v>1449</v>
      </c>
      <c r="BH16" t="s">
        <v>2212</v>
      </c>
      <c r="BI16" t="s">
        <v>2213</v>
      </c>
      <c r="BJ16" t="s">
        <v>2023</v>
      </c>
      <c r="BK16" t="s">
        <v>1231</v>
      </c>
      <c r="BL16" t="s">
        <v>1316</v>
      </c>
      <c r="BM16" t="s">
        <v>1313</v>
      </c>
      <c r="BN16" t="s">
        <v>1340</v>
      </c>
      <c r="BO16" t="s">
        <v>1119</v>
      </c>
      <c r="BP16" t="s">
        <v>960</v>
      </c>
      <c r="BR16" t="s">
        <v>1183</v>
      </c>
      <c r="BS16" t="s">
        <v>1975</v>
      </c>
      <c r="BT16" t="s">
        <v>2214</v>
      </c>
      <c r="BV16" t="s">
        <v>1100</v>
      </c>
      <c r="BW16" t="s">
        <v>1970</v>
      </c>
      <c r="BX16" t="s">
        <v>1154</v>
      </c>
      <c r="BY16" t="s">
        <v>2215</v>
      </c>
      <c r="BZ16" t="s">
        <v>1410</v>
      </c>
      <c r="CA16" t="s">
        <v>2216</v>
      </c>
      <c r="CB16" t="s">
        <v>1598</v>
      </c>
      <c r="CC16" t="s">
        <v>1152</v>
      </c>
      <c r="CD16" t="s">
        <v>895</v>
      </c>
      <c r="CE16" t="s">
        <v>2217</v>
      </c>
      <c r="CF16" t="s">
        <v>1414</v>
      </c>
      <c r="CG16" t="s">
        <v>1033</v>
      </c>
      <c r="CI16" t="s">
        <v>1506</v>
      </c>
      <c r="CJ16" t="s">
        <v>1158</v>
      </c>
      <c r="CK16" t="s">
        <v>1964</v>
      </c>
      <c r="CL16" t="s">
        <v>1913</v>
      </c>
      <c r="CM16" t="s">
        <v>1560</v>
      </c>
      <c r="CN16" t="s">
        <v>1156</v>
      </c>
      <c r="CP16" t="s">
        <v>1554</v>
      </c>
      <c r="CR16" t="s">
        <v>1527</v>
      </c>
      <c r="CS16" t="s">
        <v>1012</v>
      </c>
      <c r="CU16" t="s">
        <v>2218</v>
      </c>
      <c r="CV16" t="s">
        <v>1081</v>
      </c>
      <c r="CW16" t="s">
        <v>1688</v>
      </c>
      <c r="CX16">
        <v>-412.44510000000002</v>
      </c>
      <c r="CY16">
        <v>-409.2407</v>
      </c>
      <c r="CZ16">
        <v>-407.86739999999998</v>
      </c>
      <c r="DA16">
        <v>-408.78300000000002</v>
      </c>
      <c r="DB16">
        <v>-410.15629999999999</v>
      </c>
      <c r="DC16">
        <v>-410.38510000000002</v>
      </c>
      <c r="DD16">
        <v>-411.0718</v>
      </c>
      <c r="DE16">
        <v>-409.01179999999999</v>
      </c>
      <c r="DF16">
        <v>-408.55410000000001</v>
      </c>
      <c r="DG16">
        <v>-409.69850000000002</v>
      </c>
      <c r="DH16">
        <v>-409.69850000000002</v>
      </c>
      <c r="DI16">
        <v>-413.13170000000002</v>
      </c>
      <c r="DJ16">
        <v>-412.44510000000002</v>
      </c>
      <c r="DK16">
        <v>-411.52949999999998</v>
      </c>
      <c r="DL16">
        <v>-411.9873</v>
      </c>
      <c r="DM16">
        <v>-412.21620000000001</v>
      </c>
      <c r="DN16">
        <v>-412.67399999999998</v>
      </c>
      <c r="DO16">
        <v>-410.84289999999999</v>
      </c>
      <c r="DP16">
        <v>-411.9873</v>
      </c>
      <c r="DQ16">
        <v>-413.36059999999998</v>
      </c>
      <c r="DR16">
        <v>-415.19170000000003</v>
      </c>
      <c r="DS16">
        <v>-407.40969999999999</v>
      </c>
      <c r="DT16">
        <v>-405.12079999999997</v>
      </c>
      <c r="DU16">
        <v>-606.07910000000004</v>
      </c>
      <c r="DV16">
        <v>-605.16359999999997</v>
      </c>
      <c r="DW16">
        <v>-611.80110000000002</v>
      </c>
      <c r="DX16">
        <v>-418.39600000000002</v>
      </c>
      <c r="DY16">
        <v>-422.05810000000002</v>
      </c>
      <c r="DZ16">
        <v>-416.79379999999998</v>
      </c>
      <c r="EA16">
        <v>-414.96280000000002</v>
      </c>
      <c r="EB16">
        <v>-409.92739999999998</v>
      </c>
      <c r="EC16">
        <v>-413.58949999999999</v>
      </c>
      <c r="ED16">
        <v>-410.61399999999998</v>
      </c>
      <c r="EE16">
        <v>-410.38510000000002</v>
      </c>
      <c r="EF16">
        <v>-411.9873</v>
      </c>
      <c r="EG16">
        <v>-411.75839999999999</v>
      </c>
      <c r="EH16">
        <v>-412.44510000000002</v>
      </c>
      <c r="EI16">
        <v>-412.21620000000001</v>
      </c>
      <c r="EJ16">
        <v>-410.84289999999999</v>
      </c>
      <c r="EK16">
        <v>-410.61399999999998</v>
      </c>
      <c r="EL16">
        <v>-410.84289999999999</v>
      </c>
      <c r="EM16">
        <v>-402.37430000000001</v>
      </c>
      <c r="EN16">
        <v>-401.91649999999998</v>
      </c>
      <c r="EO16">
        <v>-411.9873</v>
      </c>
      <c r="EP16">
        <v>-410.15629999999999</v>
      </c>
      <c r="EQ16">
        <v>-411.0718</v>
      </c>
      <c r="ER16">
        <v>-342.86500000000001</v>
      </c>
      <c r="ES16">
        <v>-364.37990000000002</v>
      </c>
      <c r="ET16">
        <v>-608.13900000000001</v>
      </c>
      <c r="EU16">
        <v>-613.86109999999996</v>
      </c>
      <c r="EV16">
        <v>-406.26530000000002</v>
      </c>
      <c r="EW16">
        <v>-615.00549999999998</v>
      </c>
      <c r="EX16">
        <v>-613.63220000000001</v>
      </c>
      <c r="EY16">
        <v>-616.60770000000002</v>
      </c>
      <c r="EZ16">
        <v>-405.34969999999998</v>
      </c>
      <c r="FA16">
        <v>-405.8075</v>
      </c>
      <c r="FB16">
        <v>-404.20530000000002</v>
      </c>
      <c r="FC16">
        <v>-404.66309999999999</v>
      </c>
      <c r="FD16">
        <v>-619.12540000000001</v>
      </c>
      <c r="FE16">
        <v>-619.35419999999999</v>
      </c>
      <c r="FF16">
        <v>-610.88559999999995</v>
      </c>
      <c r="FG16">
        <v>-600.12819999999999</v>
      </c>
      <c r="FH16">
        <v>-407.63850000000002</v>
      </c>
      <c r="FI16">
        <v>-406.72300000000001</v>
      </c>
      <c r="FJ16">
        <v>-406.72300000000001</v>
      </c>
      <c r="FK16">
        <v>-407.18079999999998</v>
      </c>
      <c r="FL16">
        <v>-408.09629999999999</v>
      </c>
      <c r="FM16">
        <v>-407.86739999999998</v>
      </c>
      <c r="FN16">
        <v>-409.92739999999998</v>
      </c>
      <c r="FO16">
        <v>-408.78300000000002</v>
      </c>
      <c r="FP16">
        <v>-408.09629999999999</v>
      </c>
      <c r="FQ16">
        <v>-409.2407</v>
      </c>
      <c r="FR16">
        <v>-408.55410000000001</v>
      </c>
      <c r="FS16">
        <v>-410.38510000000002</v>
      </c>
      <c r="FT16">
        <v>-408.3252</v>
      </c>
      <c r="FU16">
        <v>-408.78300000000002</v>
      </c>
      <c r="FV16">
        <v>-411.0718</v>
      </c>
      <c r="FW16">
        <v>-416.10719999999998</v>
      </c>
      <c r="FX16">
        <v>-416.10719999999998</v>
      </c>
      <c r="FY16">
        <v>-412.67399999999998</v>
      </c>
      <c r="FZ16">
        <v>-415.19170000000003</v>
      </c>
      <c r="GA16">
        <v>-414.505</v>
      </c>
      <c r="GB16">
        <v>-415.4205</v>
      </c>
      <c r="GC16">
        <v>-458.67919999999998</v>
      </c>
      <c r="GD16">
        <v>-414.04719999999998</v>
      </c>
      <c r="GE16">
        <v>-411.30070000000001</v>
      </c>
      <c r="GF16">
        <v>-411.0718</v>
      </c>
      <c r="GG16">
        <v>-409.92739999999998</v>
      </c>
      <c r="GH16">
        <v>-404.892</v>
      </c>
      <c r="GI16">
        <v>-410.61399999999998</v>
      </c>
      <c r="GJ16">
        <v>-405.8075</v>
      </c>
      <c r="GK16">
        <v>-406.95190000000002</v>
      </c>
      <c r="GL16">
        <v>-408.09629999999999</v>
      </c>
      <c r="GM16">
        <v>-409.69850000000002</v>
      </c>
      <c r="GN16">
        <v>-409.2407</v>
      </c>
      <c r="GO16">
        <v>-409.92739999999998</v>
      </c>
      <c r="GP16">
        <v>-409.92739999999998</v>
      </c>
      <c r="GQ16">
        <v>-406.4941</v>
      </c>
      <c r="GR16">
        <v>-406.4941</v>
      </c>
      <c r="GS16">
        <v>-406.4941</v>
      </c>
      <c r="GT16">
        <v>-408.3252</v>
      </c>
      <c r="GU16">
        <v>-396.65219999999999</v>
      </c>
      <c r="GV16">
        <v>-413.13170000000002</v>
      </c>
      <c r="GW16">
        <f>--400.5432</f>
        <v>400.54320000000001</v>
      </c>
      <c r="GX16">
        <f>--400.5432</f>
        <v>400.54320000000001</v>
      </c>
      <c r="GY16">
        <f>--399.1699</f>
        <v>399.16989999999998</v>
      </c>
      <c r="GZ16">
        <f>--401.9165</f>
        <v>401.91649999999998</v>
      </c>
      <c r="HA16">
        <f>--398.941</f>
        <v>398.94099999999997</v>
      </c>
      <c r="HB16">
        <f>--401.6876</f>
        <v>401.68759999999997</v>
      </c>
      <c r="HC16">
        <f>--401.001</f>
        <v>401.00099999999998</v>
      </c>
      <c r="HD16">
        <f>--400.3143</f>
        <v>400.3143</v>
      </c>
      <c r="HE16">
        <f>--400.7721</f>
        <v>400.77210000000002</v>
      </c>
      <c r="HF16">
        <f>--400.5432</f>
        <v>400.54320000000001</v>
      </c>
      <c r="HG16">
        <f>--402.1454</f>
        <v>402.1454</v>
      </c>
      <c r="HH16">
        <f>--401.6876</f>
        <v>401.68759999999997</v>
      </c>
      <c r="HI16">
        <f>--401.001</f>
        <v>401.00099999999998</v>
      </c>
      <c r="HJ16">
        <f>--400.5432</f>
        <v>400.54320000000001</v>
      </c>
      <c r="HK16">
        <f>--380.8594</f>
        <v>380.85939999999999</v>
      </c>
      <c r="HL16">
        <f>--377.8839</f>
        <v>377.88389999999998</v>
      </c>
      <c r="HM16">
        <f>--403.2898</f>
        <v>403.28980000000001</v>
      </c>
      <c r="HN16">
        <f>--402.3743</f>
        <v>402.37430000000001</v>
      </c>
      <c r="HO16">
        <f>--403.7476</f>
        <v>403.74759999999998</v>
      </c>
      <c r="HP16">
        <f>--401.6876</f>
        <v>401.68759999999997</v>
      </c>
      <c r="HQ16">
        <f>--400.5432</f>
        <v>400.54320000000001</v>
      </c>
      <c r="HR16">
        <f>--445.8618</f>
        <v>445.86180000000002</v>
      </c>
      <c r="HS16">
        <f>--485.6873</f>
        <v>485.68729999999999</v>
      </c>
      <c r="HT16">
        <f>--485.9161</f>
        <v>485.91609999999997</v>
      </c>
      <c r="HU16">
        <f>--490.4938</f>
        <v>490.49380000000002</v>
      </c>
      <c r="HV16">
        <f>--402.1454</f>
        <v>402.1454</v>
      </c>
      <c r="HW16">
        <f>--403.0609</f>
        <v>403.0609</v>
      </c>
      <c r="HX16">
        <f>--400.7721</f>
        <v>400.77210000000002</v>
      </c>
      <c r="HY16">
        <f>--399.1699</f>
        <v>399.16989999999998</v>
      </c>
      <c r="HZ16">
        <f>--398.0255</f>
        <v>398.02550000000002</v>
      </c>
      <c r="IA16">
        <f>--396.1945</f>
        <v>396.19450000000001</v>
      </c>
      <c r="IB16">
        <f>--398.2544</f>
        <v>398.25439999999998</v>
      </c>
      <c r="IC16">
        <f>--395.5078</f>
        <v>395.50779999999997</v>
      </c>
      <c r="ID16">
        <f>--401.6876</f>
        <v>401.68759999999997</v>
      </c>
      <c r="IE16">
        <f>--400.5432</f>
        <v>400.54320000000001</v>
      </c>
      <c r="IF16">
        <f>--401.4587</f>
        <v>401.45870000000002</v>
      </c>
      <c r="IG16">
        <f>--401.4587</f>
        <v>401.45870000000002</v>
      </c>
      <c r="IH16">
        <f>--399.1699</f>
        <v>399.16989999999998</v>
      </c>
      <c r="II16">
        <f>--401.2299</f>
        <v>401.22989999999999</v>
      </c>
      <c r="IJ16">
        <f>--401.4587</f>
        <v>401.45870000000002</v>
      </c>
      <c r="IK16">
        <f>--401.2299</f>
        <v>401.22989999999999</v>
      </c>
      <c r="IL16">
        <f>--361.4044</f>
        <v>361.40440000000001</v>
      </c>
      <c r="IM16">
        <f>--327.301</f>
        <v>327.30099999999999</v>
      </c>
      <c r="IN16">
        <f>--411.0718</f>
        <v>411.0718</v>
      </c>
      <c r="IO16">
        <f>--494.1559</f>
        <v>494.15589999999997</v>
      </c>
      <c r="IP16">
        <f>--495.3003</f>
        <v>495.30029999999999</v>
      </c>
      <c r="IQ16">
        <f>--414.0472</f>
        <v>414.04719999999998</v>
      </c>
      <c r="IR16">
        <f>--407.1808</f>
        <v>407.18079999999998</v>
      </c>
      <c r="IS16">
        <f>--406.2653</f>
        <v>406.26530000000002</v>
      </c>
      <c r="IT16">
        <f>--416.7938</f>
        <v>416.79379999999998</v>
      </c>
      <c r="IU16">
        <f>--489.5782</f>
        <v>489.57819999999998</v>
      </c>
      <c r="IV16">
        <f>--405.5786</f>
        <v>405.57859999999999</v>
      </c>
      <c r="IW16">
        <f>--406.9519</f>
        <v>406.95190000000002</v>
      </c>
      <c r="IX16">
        <f>--410.1563</f>
        <v>410.15629999999999</v>
      </c>
      <c r="IY16">
        <f>--494.8425</f>
        <v>494.84249999999997</v>
      </c>
      <c r="IZ16">
        <f>--494.8425</f>
        <v>494.84249999999997</v>
      </c>
      <c r="JA16">
        <f>--488.8916</f>
        <v>488.89159999999998</v>
      </c>
      <c r="JB16">
        <f>--489.1205</f>
        <v>489.12049999999999</v>
      </c>
      <c r="JC16">
        <f>--408.5541</f>
        <v>408.55410000000001</v>
      </c>
      <c r="JD16">
        <f>--392.0746</f>
        <v>392.07459999999998</v>
      </c>
      <c r="JE16">
        <f>--393.4479</f>
        <v>393.4479</v>
      </c>
      <c r="JF16">
        <f>--395.05</f>
        <v>395.05</v>
      </c>
      <c r="JG16">
        <f>--394.8212</f>
        <v>394.82119999999998</v>
      </c>
      <c r="JH16">
        <f>--397.7966</f>
        <v>397.79660000000001</v>
      </c>
      <c r="JI16">
        <f>--397.3389</f>
        <v>397.33890000000002</v>
      </c>
      <c r="JJ16">
        <f>--401.9165</f>
        <v>401.91649999999998</v>
      </c>
      <c r="JK16">
        <f>--400.5432</f>
        <v>400.54320000000001</v>
      </c>
      <c r="JL16">
        <f>--395.05</f>
        <v>395.05</v>
      </c>
      <c r="JM16">
        <f>--399.6277</f>
        <v>399.6277</v>
      </c>
      <c r="JN16">
        <f>--401.4587</f>
        <v>401.45870000000002</v>
      </c>
      <c r="JO16">
        <f>--398.941</f>
        <v>398.94099999999997</v>
      </c>
      <c r="JP16">
        <f>--398.941</f>
        <v>398.94099999999997</v>
      </c>
      <c r="JQ16">
        <f>--399.8566</f>
        <v>399.85660000000001</v>
      </c>
      <c r="JR16">
        <f>--401.2299</f>
        <v>401.22989999999999</v>
      </c>
      <c r="JS16">
        <f>--401.9165</f>
        <v>401.91649999999998</v>
      </c>
      <c r="JT16">
        <f>--401.4587</f>
        <v>401.45870000000002</v>
      </c>
      <c r="JU16">
        <f>--402.3743</f>
        <v>402.37430000000001</v>
      </c>
      <c r="JV16">
        <f>--400.3143</f>
        <v>400.3143</v>
      </c>
      <c r="JW16">
        <f>--400.5432</f>
        <v>400.54320000000001</v>
      </c>
      <c r="JX16">
        <f>--400.7721</f>
        <v>400.77210000000002</v>
      </c>
      <c r="JY16">
        <f>--452.9572</f>
        <v>452.9572</v>
      </c>
      <c r="JZ16">
        <f>--400.3143</f>
        <v>400.3143</v>
      </c>
      <c r="KA16">
        <f>--407.8674</f>
        <v>407.86739999999998</v>
      </c>
      <c r="KB16">
        <f>--398.7122</f>
        <v>398.7122</v>
      </c>
      <c r="KC16">
        <f>--398.7122</f>
        <v>398.7122</v>
      </c>
      <c r="KD16">
        <f>--400.7721</f>
        <v>400.77210000000002</v>
      </c>
      <c r="KE16">
        <f>--377.8839</f>
        <v>377.88389999999998</v>
      </c>
      <c r="KF16">
        <f>--400.0854</f>
        <v>400.08539999999999</v>
      </c>
      <c r="KG16">
        <f>--377.1973</f>
        <v>377.19729999999998</v>
      </c>
      <c r="KH16">
        <f>--378.3417</f>
        <v>378.3417</v>
      </c>
      <c r="KI16">
        <f>--378.3417</f>
        <v>378.3417</v>
      </c>
      <c r="KJ16">
        <f>--399.1699</f>
        <v>399.16989999999998</v>
      </c>
      <c r="KK16">
        <f>--398.7122</f>
        <v>398.7122</v>
      </c>
      <c r="KL16">
        <f>--398.4833</f>
        <v>398.48329999999999</v>
      </c>
      <c r="KM16">
        <f>--398.941</f>
        <v>398.94099999999997</v>
      </c>
      <c r="KN16">
        <f>--398.0255</f>
        <v>398.02550000000002</v>
      </c>
      <c r="KO16">
        <f>--399.1699</f>
        <v>399.16989999999998</v>
      </c>
      <c r="KP16">
        <f>--398.941</f>
        <v>398.94099999999997</v>
      </c>
      <c r="KQ16">
        <f>--409.4696</f>
        <v>409.46960000000001</v>
      </c>
      <c r="KR16">
        <f>--401.001</f>
        <v>401.00099999999998</v>
      </c>
      <c r="KS16">
        <f>--399.3988</f>
        <v>399.39879999999999</v>
      </c>
      <c r="KT16">
        <f>--400.7721</f>
        <v>400.77210000000002</v>
      </c>
      <c r="KU16">
        <f>--399.8566</f>
        <v>399.85660000000001</v>
      </c>
      <c r="KV16">
        <f>--400.3143</f>
        <v>400.3143</v>
      </c>
      <c r="KW16">
        <f>--398.4833</f>
        <v>398.48329999999999</v>
      </c>
      <c r="KX16">
        <f>--399.6277</f>
        <v>399.6277</v>
      </c>
      <c r="KY16">
        <f>--401.4587</f>
        <v>401.45870000000002</v>
      </c>
      <c r="KZ16">
        <f>--400.7721</f>
        <v>400.77210000000002</v>
      </c>
      <c r="LA16">
        <f>--401.9165</f>
        <v>401.91649999999998</v>
      </c>
      <c r="LB16">
        <f>--400.5432</f>
        <v>400.54320000000001</v>
      </c>
      <c r="LC16">
        <f>--401.001</f>
        <v>401.00099999999998</v>
      </c>
      <c r="LD16">
        <f>--404.892</f>
        <v>404.892</v>
      </c>
      <c r="LE16">
        <f>--379.0283</f>
        <v>379.0283</v>
      </c>
      <c r="LF16">
        <f>--379.2572</f>
        <v>379.25720000000001</v>
      </c>
      <c r="LG16">
        <f>--402.3743</f>
        <v>402.37430000000001</v>
      </c>
      <c r="LH16">
        <f>--400.3143</f>
        <v>400.3143</v>
      </c>
      <c r="LI16">
        <f>--401.4587</f>
        <v>401.45870000000002</v>
      </c>
      <c r="LJ16">
        <f>--399.8566</f>
        <v>399.85660000000001</v>
      </c>
      <c r="LK16">
        <f>--401.001</f>
        <v>401.00099999999998</v>
      </c>
      <c r="LL16">
        <f>--401.2299</f>
        <v>401.22989999999999</v>
      </c>
      <c r="LM16">
        <f>--411.0718</f>
        <v>411.0718</v>
      </c>
      <c r="LN16">
        <f>--399.1699</f>
        <v>399.16989999999998</v>
      </c>
      <c r="LO16">
        <f>--481.7963</f>
        <v>481.79629999999997</v>
      </c>
      <c r="LP16">
        <f>--480.423</f>
        <v>480.423</v>
      </c>
      <c r="LQ16">
        <f>--488.6627</f>
        <v>488.66269999999997</v>
      </c>
      <c r="LR16">
        <f>--398.941</f>
        <v>398.94099999999997</v>
      </c>
      <c r="LS16">
        <f>--399.8566</f>
        <v>399.85660000000001</v>
      </c>
      <c r="LT16">
        <f>--399.8566</f>
        <v>399.85660000000001</v>
      </c>
      <c r="LU16">
        <f>--397.5677</f>
        <v>397.5677</v>
      </c>
      <c r="LV16">
        <f>--396.1945</f>
        <v>396.19450000000001</v>
      </c>
      <c r="LW16">
        <f>--397.3389</f>
        <v>397.33890000000002</v>
      </c>
      <c r="LX16">
        <f>--395.2789</f>
        <v>395.27890000000002</v>
      </c>
      <c r="LY16">
        <f>--397.11</f>
        <v>397.11</v>
      </c>
      <c r="LZ16">
        <f>--396.6522</f>
        <v>396.65219999999999</v>
      </c>
      <c r="MA16">
        <f>--400.0854</f>
        <v>400.08539999999999</v>
      </c>
      <c r="MB16">
        <f>--395.9656</f>
        <v>395.96559999999999</v>
      </c>
      <c r="MC16">
        <f>--400.7721</f>
        <v>400.77210000000002</v>
      </c>
      <c r="MD16">
        <f>--398.0255</f>
        <v>398.02550000000002</v>
      </c>
      <c r="ME16">
        <f>--401.6876</f>
        <v>401.68759999999997</v>
      </c>
      <c r="MF16">
        <f>--402.1454</f>
        <v>402.1454</v>
      </c>
      <c r="MG16">
        <f>--410.1563</f>
        <v>410.15629999999999</v>
      </c>
      <c r="MH16">
        <f>--404.6631</f>
        <v>404.66309999999999</v>
      </c>
      <c r="MI16">
        <f>--401.9165</f>
        <v>401.91649999999998</v>
      </c>
      <c r="MJ16">
        <f>--402.1454</f>
        <v>402.1454</v>
      </c>
      <c r="MK16">
        <f>--405.5786</f>
        <v>405.57859999999999</v>
      </c>
      <c r="ML16">
        <f>--356.369</f>
        <v>356.36900000000003</v>
      </c>
      <c r="MM16">
        <f>--321.8079</f>
        <v>321.80790000000002</v>
      </c>
      <c r="MN16">
        <f>--485.6873</f>
        <v>485.68729999999999</v>
      </c>
      <c r="MO16">
        <f>--492.3248</f>
        <v>492.32479999999998</v>
      </c>
      <c r="MP16">
        <f>--411.3007</f>
        <v>411.30070000000001</v>
      </c>
      <c r="MQ16">
        <f>--489.3494</f>
        <v>489.3494</v>
      </c>
      <c r="MR16">
        <f>--492.5537</f>
        <v>492.55369999999999</v>
      </c>
      <c r="MS16">
        <f>--495.9869</f>
        <v>495.98689999999999</v>
      </c>
      <c r="MT16">
        <f>--419.0826</f>
        <v>419.08260000000001</v>
      </c>
      <c r="MU16">
        <f>--408.5541</f>
        <v>408.55410000000001</v>
      </c>
      <c r="MV16">
        <f>--407.4097</f>
        <v>407.40969999999999</v>
      </c>
      <c r="MW16">
        <f>--414.7339</f>
        <v>414.73390000000001</v>
      </c>
      <c r="MX16">
        <f>--497.3602</f>
        <v>497.36020000000002</v>
      </c>
      <c r="MY16">
        <f>--496.2158</f>
        <v>496.2158</v>
      </c>
      <c r="MZ16">
        <f>--491.6382</f>
        <v>491.63819999999998</v>
      </c>
      <c r="NA16">
        <f>--469.2078</f>
        <v>469.20780000000002</v>
      </c>
      <c r="NB16">
        <f>--392.5323</f>
        <v>392.53230000000002</v>
      </c>
      <c r="NC16">
        <f>--394.1345</f>
        <v>394.1345</v>
      </c>
      <c r="ND16">
        <f>--394.3634</f>
        <v>394.36340000000001</v>
      </c>
      <c r="NE16">
        <f>--394.8212</f>
        <v>394.82119999999998</v>
      </c>
      <c r="NF16">
        <f>--395.05</f>
        <v>395.05</v>
      </c>
      <c r="NG16">
        <f>--395.9656</f>
        <v>395.96559999999999</v>
      </c>
      <c r="NH16">
        <f>--401.001</f>
        <v>401.00099999999998</v>
      </c>
      <c r="NI16">
        <f>--397.3389</f>
        <v>397.33890000000002</v>
      </c>
      <c r="NJ16">
        <f>--400.7721</f>
        <v>400.77210000000002</v>
      </c>
      <c r="NK16">
        <f>--395.9656</f>
        <v>395.96559999999999</v>
      </c>
      <c r="NL16">
        <f>--397.3389</f>
        <v>397.33890000000002</v>
      </c>
      <c r="NM16">
        <f>--399.1699</f>
        <v>399.16989999999998</v>
      </c>
      <c r="NN16">
        <f>--395.05</f>
        <v>395.05</v>
      </c>
      <c r="NO16">
        <f>--397.5677</f>
        <v>397.5677</v>
      </c>
      <c r="NP16">
        <f>--401.6876</f>
        <v>401.68759999999997</v>
      </c>
      <c r="NQ16">
        <f>--400.7721</f>
        <v>400.77210000000002</v>
      </c>
      <c r="NR16">
        <f>--400.3143</f>
        <v>400.3143</v>
      </c>
      <c r="NS16">
        <f>--400.7721</f>
        <v>400.77210000000002</v>
      </c>
      <c r="NT16">
        <f>--400.0854</f>
        <v>400.08539999999999</v>
      </c>
      <c r="NU16">
        <f>--399.8566</f>
        <v>399.85660000000001</v>
      </c>
      <c r="NV16">
        <f>--399.6277</f>
        <v>399.6277</v>
      </c>
      <c r="NW16">
        <f>--417.7094</f>
        <v>417.70940000000002</v>
      </c>
      <c r="NX16">
        <f>--400.0854</f>
        <v>400.08539999999999</v>
      </c>
      <c r="NY16">
        <f>--399.3988</f>
        <v>399.39879999999999</v>
      </c>
      <c r="NZ16">
        <f>--399.3988</f>
        <v>399.39879999999999</v>
      </c>
      <c r="OA16">
        <f>--400.0854</f>
        <v>400.08539999999999</v>
      </c>
      <c r="OB16">
        <f>--377.4261</f>
        <v>377.42610000000002</v>
      </c>
      <c r="OC16">
        <f>--401.001</f>
        <v>401.00099999999998</v>
      </c>
      <c r="OD16">
        <f>--376.7395</f>
        <v>376.73950000000002</v>
      </c>
      <c r="OE16">
        <f>--377.4261</f>
        <v>377.42610000000002</v>
      </c>
      <c r="OF16">
        <f>--377.655</f>
        <v>377.65499999999997</v>
      </c>
      <c r="OG16">
        <f>--400.3143</f>
        <v>400.3143</v>
      </c>
      <c r="OH16">
        <f>--397.5677</f>
        <v>397.5677</v>
      </c>
      <c r="OI16">
        <f>--400.0854</f>
        <v>400.08539999999999</v>
      </c>
      <c r="OJ16">
        <f>--397.5677</f>
        <v>397.5677</v>
      </c>
      <c r="OK16">
        <f>--397.7966</f>
        <v>397.79660000000001</v>
      </c>
      <c r="OL16">
        <f>--400.0854</f>
        <v>400.08539999999999</v>
      </c>
      <c r="OM16">
        <f>--398.4833</f>
        <v>398.48329999999999</v>
      </c>
      <c r="ON16">
        <f>--399.6277</f>
        <v>399.6277</v>
      </c>
      <c r="OO16">
        <f>--402.1454</f>
        <v>402.1454</v>
      </c>
      <c r="OP16">
        <f>--404.892</f>
        <v>404.892</v>
      </c>
      <c r="OQ16">
        <v>-1</v>
      </c>
      <c r="OR16">
        <v>-1</v>
      </c>
      <c r="OS16">
        <v>-1</v>
      </c>
      <c r="OT16">
        <v>-1</v>
      </c>
      <c r="OU16">
        <v>-1</v>
      </c>
      <c r="OV16">
        <v>-1</v>
      </c>
      <c r="OW16">
        <v>-1</v>
      </c>
      <c r="OX16">
        <v>-1</v>
      </c>
      <c r="OY16">
        <v>-1</v>
      </c>
      <c r="OZ16">
        <v>-1</v>
      </c>
      <c r="PA16">
        <v>-1</v>
      </c>
      <c r="PB16">
        <v>-1</v>
      </c>
      <c r="PC16">
        <v>-1</v>
      </c>
      <c r="PD16">
        <v>-1</v>
      </c>
      <c r="PE16">
        <v>-1</v>
      </c>
      <c r="PF16">
        <v>-1</v>
      </c>
      <c r="PG16">
        <v>-1</v>
      </c>
      <c r="PH16">
        <v>-1</v>
      </c>
      <c r="PI16">
        <v>-1</v>
      </c>
      <c r="PJ16">
        <v>-1</v>
      </c>
      <c r="PK16">
        <v>-1</v>
      </c>
      <c r="PL16">
        <v>-1</v>
      </c>
      <c r="PM16">
        <v>-1</v>
      </c>
      <c r="PN16">
        <v>-1</v>
      </c>
      <c r="PO16">
        <v>-1</v>
      </c>
      <c r="PP16">
        <v>-1</v>
      </c>
      <c r="PQ16">
        <v>-1</v>
      </c>
      <c r="PR16">
        <v>-1</v>
      </c>
      <c r="PS16">
        <v>-1</v>
      </c>
      <c r="PT16">
        <v>-1</v>
      </c>
      <c r="PU16">
        <v>-1</v>
      </c>
      <c r="PV16">
        <v>-1</v>
      </c>
      <c r="PW16">
        <v>-1</v>
      </c>
      <c r="PX16">
        <v>-1</v>
      </c>
      <c r="PY16">
        <v>-1</v>
      </c>
      <c r="PZ16">
        <v>-1</v>
      </c>
      <c r="QA16">
        <v>-1</v>
      </c>
      <c r="QB16">
        <v>-1</v>
      </c>
      <c r="QC16">
        <v>-1</v>
      </c>
      <c r="QD16">
        <v>-1</v>
      </c>
      <c r="QE16">
        <v>-1</v>
      </c>
      <c r="QF16">
        <v>-1</v>
      </c>
      <c r="QG16">
        <v>-1</v>
      </c>
      <c r="QH16">
        <v>-1</v>
      </c>
      <c r="QI16">
        <v>-1</v>
      </c>
      <c r="QJ16">
        <v>-1</v>
      </c>
      <c r="QK16">
        <v>-1</v>
      </c>
      <c r="QL16">
        <v>-1</v>
      </c>
    </row>
    <row r="17" spans="1:454" x14ac:dyDescent="0.25">
      <c r="A17" t="s">
        <v>2219</v>
      </c>
      <c r="B17" t="s">
        <v>1292</v>
      </c>
      <c r="C17" t="s">
        <v>1003</v>
      </c>
      <c r="D17" t="s">
        <v>1164</v>
      </c>
      <c r="E17" t="s">
        <v>892</v>
      </c>
      <c r="F17" t="s">
        <v>1980</v>
      </c>
      <c r="G17" t="s">
        <v>2014</v>
      </c>
      <c r="H17" t="s">
        <v>2220</v>
      </c>
      <c r="I17" t="s">
        <v>2221</v>
      </c>
      <c r="L17" t="s">
        <v>2165</v>
      </c>
      <c r="M17" t="s">
        <v>2135</v>
      </c>
      <c r="N17" t="s">
        <v>1436</v>
      </c>
      <c r="Q17" t="s">
        <v>1890</v>
      </c>
      <c r="R17" t="s">
        <v>1079</v>
      </c>
      <c r="S17" t="s">
        <v>2222</v>
      </c>
      <c r="T17" t="s">
        <v>2081</v>
      </c>
      <c r="V17" t="s">
        <v>2223</v>
      </c>
      <c r="W17" t="s">
        <v>2224</v>
      </c>
      <c r="X17" t="s">
        <v>2225</v>
      </c>
      <c r="Y17" t="s">
        <v>2226</v>
      </c>
      <c r="AA17" t="s">
        <v>1671</v>
      </c>
      <c r="AB17" t="s">
        <v>2227</v>
      </c>
      <c r="AC17" t="s">
        <v>2227</v>
      </c>
      <c r="AD17" t="s">
        <v>2116</v>
      </c>
      <c r="AE17" t="s">
        <v>2228</v>
      </c>
      <c r="AF17" t="s">
        <v>1546</v>
      </c>
      <c r="AG17" t="s">
        <v>2026</v>
      </c>
      <c r="AH17" t="s">
        <v>1088</v>
      </c>
      <c r="AI17" t="s">
        <v>944</v>
      </c>
      <c r="AJ17" t="s">
        <v>1341</v>
      </c>
      <c r="AL17" t="s">
        <v>1287</v>
      </c>
      <c r="AM17" t="s">
        <v>1598</v>
      </c>
      <c r="AO17" t="s">
        <v>1351</v>
      </c>
      <c r="AP17" t="s">
        <v>2229</v>
      </c>
      <c r="AQ17" t="s">
        <v>2230</v>
      </c>
      <c r="AR17" t="s">
        <v>2231</v>
      </c>
      <c r="AS17" t="s">
        <v>2232</v>
      </c>
      <c r="AT17" t="s">
        <v>1564</v>
      </c>
      <c r="AU17" t="s">
        <v>2233</v>
      </c>
      <c r="AV17" t="s">
        <v>914</v>
      </c>
      <c r="AW17" t="s">
        <v>1964</v>
      </c>
      <c r="AY17" t="s">
        <v>1403</v>
      </c>
      <c r="BA17" t="s">
        <v>2234</v>
      </c>
      <c r="BB17" t="s">
        <v>1651</v>
      </c>
      <c r="BC17" t="s">
        <v>1460</v>
      </c>
      <c r="BD17" t="s">
        <v>871</v>
      </c>
      <c r="BE17" t="s">
        <v>2235</v>
      </c>
      <c r="BF17" t="s">
        <v>2236</v>
      </c>
      <c r="BG17" t="s">
        <v>2181</v>
      </c>
      <c r="BH17" t="s">
        <v>2237</v>
      </c>
      <c r="BI17" t="s">
        <v>999</v>
      </c>
      <c r="BK17" t="s">
        <v>967</v>
      </c>
      <c r="BL17" t="s">
        <v>1210</v>
      </c>
      <c r="BM17" t="s">
        <v>2083</v>
      </c>
      <c r="BO17" t="s">
        <v>1190</v>
      </c>
      <c r="BQ17" t="s">
        <v>1215</v>
      </c>
      <c r="BR17" t="s">
        <v>967</v>
      </c>
      <c r="BS17" t="s">
        <v>1208</v>
      </c>
      <c r="BT17" t="s">
        <v>2238</v>
      </c>
      <c r="BU17" t="s">
        <v>1316</v>
      </c>
      <c r="BV17" t="s">
        <v>2239</v>
      </c>
      <c r="BW17" t="s">
        <v>1933</v>
      </c>
      <c r="BX17" t="s">
        <v>1208</v>
      </c>
      <c r="BY17" t="s">
        <v>2240</v>
      </c>
      <c r="BZ17" t="s">
        <v>2037</v>
      </c>
      <c r="CA17" t="s">
        <v>1287</v>
      </c>
      <c r="CB17" t="s">
        <v>1946</v>
      </c>
      <c r="CC17" t="s">
        <v>2241</v>
      </c>
      <c r="CD17" t="s">
        <v>2216</v>
      </c>
      <c r="CE17" t="s">
        <v>2242</v>
      </c>
      <c r="CF17" t="s">
        <v>2243</v>
      </c>
      <c r="CG17" t="s">
        <v>1048</v>
      </c>
      <c r="CH17" t="s">
        <v>2244</v>
      </c>
      <c r="CI17" t="s">
        <v>2241</v>
      </c>
      <c r="CK17" t="s">
        <v>1891</v>
      </c>
      <c r="CL17" t="s">
        <v>2245</v>
      </c>
      <c r="CM17" t="s">
        <v>2086</v>
      </c>
      <c r="CN17" t="s">
        <v>1080</v>
      </c>
      <c r="CO17" t="s">
        <v>2014</v>
      </c>
      <c r="CP17" t="s">
        <v>2246</v>
      </c>
      <c r="CQ17" t="s">
        <v>1552</v>
      </c>
      <c r="CR17" t="s">
        <v>2247</v>
      </c>
      <c r="CS17" t="s">
        <v>2248</v>
      </c>
      <c r="CU17" t="s">
        <v>2249</v>
      </c>
      <c r="CV17" t="s">
        <v>1189</v>
      </c>
      <c r="CX17">
        <v>-412.67399999999998</v>
      </c>
      <c r="CY17">
        <v>-411.30070000000001</v>
      </c>
      <c r="CZ17">
        <v>-412.67399999999998</v>
      </c>
      <c r="DA17">
        <v>-414.27609999999999</v>
      </c>
      <c r="DB17">
        <v>-419.76929999999999</v>
      </c>
      <c r="DC17">
        <v>-421.37150000000003</v>
      </c>
      <c r="DD17">
        <v>-420.22710000000001</v>
      </c>
      <c r="DE17">
        <v>-418.1671</v>
      </c>
      <c r="DF17">
        <v>-415.4205</v>
      </c>
      <c r="DG17">
        <v>-414.73390000000001</v>
      </c>
      <c r="DH17">
        <v>-413.58949999999999</v>
      </c>
      <c r="DI17">
        <v>-413.13170000000002</v>
      </c>
      <c r="DJ17">
        <v>-412.21620000000001</v>
      </c>
      <c r="DK17">
        <v>-409.46960000000001</v>
      </c>
      <c r="DL17">
        <v>-414.27609999999999</v>
      </c>
      <c r="DM17">
        <v>-416.33609999999999</v>
      </c>
      <c r="DN17">
        <v>-416.10719999999998</v>
      </c>
      <c r="DO17">
        <v>-415.64940000000001</v>
      </c>
      <c r="DP17">
        <v>-417.70940000000002</v>
      </c>
      <c r="DQ17">
        <v>-419.9982</v>
      </c>
      <c r="DR17">
        <v>-422.7448</v>
      </c>
      <c r="DS17">
        <v>-406.4941</v>
      </c>
      <c r="DT17">
        <v>-404.43419999999998</v>
      </c>
      <c r="DU17">
        <v>-604.4769</v>
      </c>
      <c r="DV17">
        <v>-604.01919999999996</v>
      </c>
      <c r="DW17">
        <v>-611.57230000000004</v>
      </c>
      <c r="DX17">
        <v>-413.36059999999998</v>
      </c>
      <c r="DY17">
        <v>-414.27609999999999</v>
      </c>
      <c r="DZ17">
        <v>-414.505</v>
      </c>
      <c r="EA17">
        <v>-413.36059999999998</v>
      </c>
      <c r="EB17">
        <v>-408.3252</v>
      </c>
      <c r="EC17">
        <v>-407.86739999999998</v>
      </c>
      <c r="ED17">
        <v>-411.30070000000001</v>
      </c>
      <c r="EE17">
        <v>-410.38510000000002</v>
      </c>
      <c r="EF17">
        <v>-411.75839999999999</v>
      </c>
      <c r="EG17">
        <v>-409.2407</v>
      </c>
      <c r="EH17">
        <v>-411.75839999999999</v>
      </c>
      <c r="EI17">
        <v>-413.13170000000002</v>
      </c>
      <c r="EJ17">
        <v>-411.30070000000001</v>
      </c>
      <c r="EK17">
        <v>-413.13170000000002</v>
      </c>
      <c r="EL17">
        <v>-413.8184</v>
      </c>
      <c r="EM17">
        <v>-402.83199999999999</v>
      </c>
      <c r="EN17">
        <v>-401.68759999999997</v>
      </c>
      <c r="EO17">
        <v>-414.27609999999999</v>
      </c>
      <c r="EP17">
        <v>-411.30070000000001</v>
      </c>
      <c r="EQ17">
        <v>-413.13170000000002</v>
      </c>
      <c r="ER17">
        <v>-345.3827</v>
      </c>
      <c r="ES17">
        <v>-364.15100000000001</v>
      </c>
      <c r="ET17">
        <v>-608.13900000000001</v>
      </c>
      <c r="EU17">
        <v>-615.69209999999998</v>
      </c>
      <c r="EV17">
        <v>-406.03640000000001</v>
      </c>
      <c r="EW17">
        <v>-615.00549999999998</v>
      </c>
      <c r="EX17">
        <v>-613.63220000000001</v>
      </c>
      <c r="EY17">
        <v>-616.1499</v>
      </c>
      <c r="EZ17">
        <v>-407.18079999999998</v>
      </c>
      <c r="FA17">
        <v>-406.95190000000002</v>
      </c>
      <c r="FB17">
        <v>-406.03640000000001</v>
      </c>
      <c r="FC17">
        <v>-407.86739999999998</v>
      </c>
      <c r="FD17">
        <v>-618.20979999999997</v>
      </c>
      <c r="FE17">
        <v>-618.20979999999997</v>
      </c>
      <c r="FF17">
        <v>-610.6567</v>
      </c>
      <c r="FG17">
        <v>-598.75490000000002</v>
      </c>
      <c r="FH17">
        <v>-411.30070000000001</v>
      </c>
      <c r="FI17">
        <v>-410.61399999999998</v>
      </c>
      <c r="FJ17">
        <v>-411.30070000000001</v>
      </c>
      <c r="FK17">
        <v>-408.3252</v>
      </c>
      <c r="FL17">
        <v>-407.18079999999998</v>
      </c>
      <c r="FM17">
        <v>-410.38510000000002</v>
      </c>
      <c r="FN17">
        <v>-411.0718</v>
      </c>
      <c r="FO17">
        <v>-410.61399999999998</v>
      </c>
      <c r="FP17">
        <v>-410.38510000000002</v>
      </c>
      <c r="FQ17">
        <v>-408.09629999999999</v>
      </c>
      <c r="FR17">
        <v>-406.03640000000001</v>
      </c>
      <c r="FS17">
        <v>-408.55410000000001</v>
      </c>
      <c r="FT17">
        <v>-406.72300000000001</v>
      </c>
      <c r="FU17">
        <v>-408.55410000000001</v>
      </c>
      <c r="FV17">
        <v>-408.55410000000001</v>
      </c>
      <c r="FW17">
        <v>-416.79379999999998</v>
      </c>
      <c r="FX17">
        <v>-417.48050000000001</v>
      </c>
      <c r="FY17">
        <v>-415.87830000000002</v>
      </c>
      <c r="FZ17">
        <v>-416.33609999999999</v>
      </c>
      <c r="GA17">
        <v>-412.67399999999998</v>
      </c>
      <c r="GB17">
        <v>-413.36059999999998</v>
      </c>
      <c r="GC17">
        <v>-463.94349999999997</v>
      </c>
      <c r="GD17">
        <v>-413.58949999999999</v>
      </c>
      <c r="GE17">
        <v>-416.10719999999998</v>
      </c>
      <c r="GF17">
        <v>-416.33609999999999</v>
      </c>
      <c r="GG17">
        <v>-416.10719999999998</v>
      </c>
      <c r="GH17">
        <v>-410.61399999999998</v>
      </c>
      <c r="GI17">
        <v>-418.62490000000003</v>
      </c>
      <c r="GJ17">
        <v>-413.36059999999998</v>
      </c>
      <c r="GK17">
        <v>-416.10719999999998</v>
      </c>
      <c r="GL17">
        <v>-412.21620000000001</v>
      </c>
      <c r="GM17">
        <v>-419.08260000000001</v>
      </c>
      <c r="GN17">
        <v>-420.91370000000001</v>
      </c>
      <c r="GO17">
        <v>-420.45589999999999</v>
      </c>
      <c r="GP17">
        <v>-423.66030000000001</v>
      </c>
      <c r="GQ17">
        <v>-420.6848</v>
      </c>
      <c r="GR17">
        <v>-418.85379999999998</v>
      </c>
      <c r="GS17">
        <v>-419.76929999999999</v>
      </c>
      <c r="GT17">
        <v>-420.45589999999999</v>
      </c>
      <c r="GU17">
        <v>-399.16989999999998</v>
      </c>
      <c r="GV17">
        <v>-415.4205</v>
      </c>
      <c r="GW17">
        <f>--401.001</f>
        <v>401.00099999999998</v>
      </c>
      <c r="GX17">
        <f>--401.001</f>
        <v>401.00099999999998</v>
      </c>
      <c r="GY17">
        <f>--401.2299</f>
        <v>401.22989999999999</v>
      </c>
      <c r="GZ17">
        <f>--399.3988</f>
        <v>399.39879999999999</v>
      </c>
      <c r="HA17">
        <f>--402.6031</f>
        <v>402.60309999999998</v>
      </c>
      <c r="HB17">
        <f>--405.1208</f>
        <v>405.12079999999997</v>
      </c>
      <c r="HC17">
        <f>--404.4342</f>
        <v>404.43419999999998</v>
      </c>
      <c r="HD17">
        <f>--405.5786</f>
        <v>405.57859999999999</v>
      </c>
      <c r="HE17">
        <f>--401.2299</f>
        <v>401.22989999999999</v>
      </c>
      <c r="HF17">
        <f>--401.6876</f>
        <v>401.68759999999997</v>
      </c>
      <c r="HG17">
        <f>--401.2299</f>
        <v>401.22989999999999</v>
      </c>
      <c r="HH17">
        <f>--402.1454</f>
        <v>402.1454</v>
      </c>
      <c r="HI17">
        <f>--402.1454</f>
        <v>402.1454</v>
      </c>
      <c r="HJ17">
        <f>--402.3743</f>
        <v>402.37430000000001</v>
      </c>
      <c r="HK17">
        <f>--379.9438</f>
        <v>379.94380000000001</v>
      </c>
      <c r="HL17">
        <f>--379.4861</f>
        <v>379.48610000000002</v>
      </c>
      <c r="HM17">
        <f>--401.6876</f>
        <v>401.68759999999997</v>
      </c>
      <c r="HN17">
        <f>--399.3988</f>
        <v>399.39879999999999</v>
      </c>
      <c r="HO17">
        <f>--401.6876</f>
        <v>401.68759999999997</v>
      </c>
      <c r="HP17">
        <f>--401.6876</f>
        <v>401.68759999999997</v>
      </c>
      <c r="HQ17">
        <f>--404.2053</f>
        <v>404.20530000000002</v>
      </c>
      <c r="HR17">
        <f>--447.464</f>
        <v>447.464</v>
      </c>
      <c r="HS17">
        <f>--488.6627</f>
        <v>488.66269999999997</v>
      </c>
      <c r="HT17">
        <f>--485.0006</f>
        <v>485.00060000000002</v>
      </c>
      <c r="HU17">
        <f>--495.7581</f>
        <v>495.75810000000001</v>
      </c>
      <c r="HV17">
        <f>--401.001</f>
        <v>401.00099999999998</v>
      </c>
      <c r="HW17">
        <f>--401.2299</f>
        <v>401.22989999999999</v>
      </c>
      <c r="HX17">
        <f>--400.5432</f>
        <v>400.54320000000001</v>
      </c>
      <c r="HY17">
        <f>--400.5432</f>
        <v>400.54320000000001</v>
      </c>
      <c r="HZ17">
        <f>--399.1699</f>
        <v>399.16989999999998</v>
      </c>
      <c r="IA17">
        <f>--397.11</f>
        <v>397.11</v>
      </c>
      <c r="IB17">
        <f>--396.4233</f>
        <v>396.42329999999998</v>
      </c>
      <c r="IC17">
        <f>--395.2789</f>
        <v>395.27890000000002</v>
      </c>
      <c r="ID17">
        <f>--401.9165</f>
        <v>401.91649999999998</v>
      </c>
      <c r="IE17">
        <f>--403.0609</f>
        <v>403.0609</v>
      </c>
      <c r="IF17">
        <f>--403.0609</f>
        <v>403.0609</v>
      </c>
      <c r="IG17">
        <f>--401.6876</f>
        <v>401.68759999999997</v>
      </c>
      <c r="IH17">
        <f>--403.0609</f>
        <v>403.0609</v>
      </c>
      <c r="II17">
        <f>--404.4342</f>
        <v>404.43419999999998</v>
      </c>
      <c r="IJ17">
        <f>--402.3743</f>
        <v>402.37430000000001</v>
      </c>
      <c r="IK17">
        <f>--405.3497</f>
        <v>405.34969999999998</v>
      </c>
      <c r="IL17">
        <f>--362.3199</f>
        <v>362.31990000000002</v>
      </c>
      <c r="IM17">
        <f>--326.1566</f>
        <v>326.15660000000003</v>
      </c>
      <c r="IN17">
        <f>--413.8184</f>
        <v>413.8184</v>
      </c>
      <c r="IO17">
        <f>--493.4692</f>
        <v>493.4692</v>
      </c>
      <c r="IP17">
        <f>--500.3357</f>
        <v>500.33569999999997</v>
      </c>
      <c r="IQ17">
        <f>--404.892</f>
        <v>404.892</v>
      </c>
      <c r="IR17">
        <f>--413.3606</f>
        <v>413.36059999999998</v>
      </c>
      <c r="IS17">
        <f>--414.505</f>
        <v>414.505</v>
      </c>
      <c r="IT17">
        <f>--410.3851</f>
        <v>410.38510000000002</v>
      </c>
      <c r="IU17">
        <f>--491.4093</f>
        <v>491.40929999999997</v>
      </c>
      <c r="IV17">
        <f>--407.6385</f>
        <v>407.63850000000002</v>
      </c>
      <c r="IW17">
        <f>--413.1317</f>
        <v>413.13170000000002</v>
      </c>
      <c r="IX17">
        <f>--404.892</f>
        <v>404.892</v>
      </c>
      <c r="IY17">
        <f>--494.8425</f>
        <v>494.84249999999997</v>
      </c>
      <c r="IZ17">
        <f>--493.927</f>
        <v>493.92700000000002</v>
      </c>
      <c r="JA17">
        <f>--490.2649</f>
        <v>490.26490000000001</v>
      </c>
      <c r="JB17">
        <f>--490.036</f>
        <v>490.036</v>
      </c>
      <c r="JC17">
        <f>--411.0718</f>
        <v>411.0718</v>
      </c>
      <c r="JD17">
        <f>--393.4479</f>
        <v>393.4479</v>
      </c>
      <c r="JE17">
        <f>--396.1945</f>
        <v>396.19450000000001</v>
      </c>
      <c r="JF17">
        <f>--393.9056</f>
        <v>393.90559999999999</v>
      </c>
      <c r="JG17">
        <f>--395.05</f>
        <v>395.05</v>
      </c>
      <c r="JH17">
        <f>--400.7721</f>
        <v>400.77210000000002</v>
      </c>
      <c r="JI17">
        <f>--397.7966</f>
        <v>397.79660000000001</v>
      </c>
      <c r="JJ17">
        <f>--399.6277</f>
        <v>399.6277</v>
      </c>
      <c r="JK17">
        <f>--400.3143</f>
        <v>400.3143</v>
      </c>
      <c r="JL17">
        <f>--395.05</f>
        <v>395.05</v>
      </c>
      <c r="JM17">
        <f>--399.6277</f>
        <v>399.6277</v>
      </c>
      <c r="JN17">
        <f>--398.4833</f>
        <v>398.48329999999999</v>
      </c>
      <c r="JO17">
        <f>--397.5677</f>
        <v>397.5677</v>
      </c>
      <c r="JP17">
        <f>--399.6277</f>
        <v>399.6277</v>
      </c>
      <c r="JQ17">
        <f>--397.5677</f>
        <v>397.5677</v>
      </c>
      <c r="JR17">
        <f>--400.3143</f>
        <v>400.3143</v>
      </c>
      <c r="JS17">
        <f>--402.3743</f>
        <v>402.37430000000001</v>
      </c>
      <c r="JT17">
        <f>--399.8566</f>
        <v>399.85660000000001</v>
      </c>
      <c r="JU17">
        <f>--400.0854</f>
        <v>400.08539999999999</v>
      </c>
      <c r="JV17">
        <f>--401.2299</f>
        <v>401.22989999999999</v>
      </c>
      <c r="JW17">
        <f>--400.7721</f>
        <v>400.77210000000002</v>
      </c>
      <c r="JX17">
        <f>--398.941</f>
        <v>398.94099999999997</v>
      </c>
      <c r="JY17">
        <f>--448.1506</f>
        <v>448.1506</v>
      </c>
      <c r="JZ17">
        <f>--401.6876</f>
        <v>401.68759999999997</v>
      </c>
      <c r="KA17">
        <f>--422.287</f>
        <v>422.28699999999998</v>
      </c>
      <c r="KB17">
        <f>--402.1454</f>
        <v>402.1454</v>
      </c>
      <c r="KC17">
        <f>--399.8566</f>
        <v>399.85660000000001</v>
      </c>
      <c r="KD17">
        <f>--401.001</f>
        <v>401.00099999999998</v>
      </c>
      <c r="KE17">
        <f>--378.1128</f>
        <v>378.11279999999999</v>
      </c>
      <c r="KF17">
        <f>--398.7122</f>
        <v>398.7122</v>
      </c>
      <c r="KG17">
        <f>--379.2572</f>
        <v>379.25720000000001</v>
      </c>
      <c r="KH17">
        <f>--379.4861</f>
        <v>379.48610000000002</v>
      </c>
      <c r="KI17">
        <f>--378.7994</f>
        <v>378.79939999999999</v>
      </c>
      <c r="KJ17">
        <f>--401.001</f>
        <v>401.00099999999998</v>
      </c>
      <c r="KK17">
        <f>--402.1454</f>
        <v>402.1454</v>
      </c>
      <c r="KL17">
        <f>--400.5432</f>
        <v>400.54320000000001</v>
      </c>
      <c r="KM17">
        <f>--402.832</f>
        <v>402.83199999999999</v>
      </c>
      <c r="KN17">
        <f>--401.001</f>
        <v>401.00099999999998</v>
      </c>
      <c r="KO17">
        <f>--400.7721</f>
        <v>400.77210000000002</v>
      </c>
      <c r="KP17">
        <f>--401.6876</f>
        <v>401.68759999999997</v>
      </c>
      <c r="KQ17">
        <f>--410.3851</f>
        <v>410.38510000000002</v>
      </c>
      <c r="KR17">
        <f>--401.001</f>
        <v>401.00099999999998</v>
      </c>
      <c r="KS17">
        <f>--400.0854</f>
        <v>400.08539999999999</v>
      </c>
      <c r="KT17">
        <f>--402.6031</f>
        <v>402.60309999999998</v>
      </c>
      <c r="KU17">
        <f>--399.3988</f>
        <v>399.39879999999999</v>
      </c>
      <c r="KV17">
        <f>--404.2053</f>
        <v>404.20530000000002</v>
      </c>
      <c r="KW17">
        <f>--403.0609</f>
        <v>403.0609</v>
      </c>
      <c r="KX17">
        <f>--402.3743</f>
        <v>402.37430000000001</v>
      </c>
      <c r="KY17">
        <f>--403.2898</f>
        <v>403.28980000000001</v>
      </c>
      <c r="KZ17">
        <f>--402.1454</f>
        <v>402.1454</v>
      </c>
      <c r="LA17">
        <f>--400.7721</f>
        <v>400.77210000000002</v>
      </c>
      <c r="LB17">
        <f>--400.5432</f>
        <v>400.54320000000001</v>
      </c>
      <c r="LC17">
        <f>--401.9165</f>
        <v>401.91649999999998</v>
      </c>
      <c r="LD17">
        <f>--402.3743</f>
        <v>402.37430000000001</v>
      </c>
      <c r="LE17">
        <f>--379.0283</f>
        <v>379.0283</v>
      </c>
      <c r="LF17">
        <f>--377.8839</f>
        <v>377.88389999999998</v>
      </c>
      <c r="LG17">
        <f>--399.8566</f>
        <v>399.85660000000001</v>
      </c>
      <c r="LH17">
        <f>--404.4342</f>
        <v>404.43419999999998</v>
      </c>
      <c r="LI17">
        <f>--401.6876</f>
        <v>401.68759999999997</v>
      </c>
      <c r="LJ17">
        <f>--401.9165</f>
        <v>401.91649999999998</v>
      </c>
      <c r="LK17">
        <f>--406.0364</f>
        <v>406.03640000000001</v>
      </c>
      <c r="LL17">
        <f>--405.3497</f>
        <v>405.34969999999998</v>
      </c>
      <c r="LM17">
        <f>--415.8783</f>
        <v>415.87830000000002</v>
      </c>
      <c r="LN17">
        <f>--409.4696</f>
        <v>409.46960000000001</v>
      </c>
      <c r="LO17">
        <f>--482.0251</f>
        <v>482.02510000000001</v>
      </c>
      <c r="LP17">
        <f>--482.254</f>
        <v>482.25400000000002</v>
      </c>
      <c r="LQ17">
        <f>--487.5183</f>
        <v>487.51830000000001</v>
      </c>
      <c r="LR17">
        <f>--399.6277</f>
        <v>399.6277</v>
      </c>
      <c r="LS17">
        <f>--400.7721</f>
        <v>400.77210000000002</v>
      </c>
      <c r="LT17">
        <f>--401.001</f>
        <v>401.00099999999998</v>
      </c>
      <c r="LU17">
        <f>--398.941</f>
        <v>398.94099999999997</v>
      </c>
      <c r="LV17">
        <f>--398.7122</f>
        <v>398.7122</v>
      </c>
      <c r="LW17">
        <f>--396.8811</f>
        <v>396.8811</v>
      </c>
      <c r="LX17">
        <f>--396.6522</f>
        <v>396.65219999999999</v>
      </c>
      <c r="LY17">
        <f>--396.8811</f>
        <v>396.8811</v>
      </c>
      <c r="LZ17">
        <f>--398.4833</f>
        <v>398.48329999999999</v>
      </c>
      <c r="MA17">
        <f>--401.2299</f>
        <v>401.22989999999999</v>
      </c>
      <c r="MB17">
        <f>--396.8811</f>
        <v>396.8811</v>
      </c>
      <c r="MC17">
        <f>--402.6031</f>
        <v>402.60309999999998</v>
      </c>
      <c r="MD17">
        <f>--402.832</f>
        <v>402.83199999999999</v>
      </c>
      <c r="ME17">
        <f>--403.0609</f>
        <v>403.0609</v>
      </c>
      <c r="MF17">
        <f>--403.5187</f>
        <v>403.51870000000002</v>
      </c>
      <c r="MG17">
        <f>--422.0581</f>
        <v>422.05810000000002</v>
      </c>
      <c r="MH17">
        <f>--411.9873</f>
        <v>411.9873</v>
      </c>
      <c r="MI17">
        <f>--403.9764</f>
        <v>403.97640000000001</v>
      </c>
      <c r="MJ17">
        <f>--405.5786</f>
        <v>405.57859999999999</v>
      </c>
      <c r="MK17">
        <f>--405.3497</f>
        <v>405.34969999999998</v>
      </c>
      <c r="ML17">
        <f>--357.0557</f>
        <v>357.0557</v>
      </c>
      <c r="MM17">
        <f>--321.8079</f>
        <v>321.80790000000002</v>
      </c>
      <c r="MN17">
        <f>--489.3494</f>
        <v>489.3494</v>
      </c>
      <c r="MO17">
        <f>--493.6981</f>
        <v>493.69810000000001</v>
      </c>
      <c r="MP17">
        <f>--405.3497</f>
        <v>405.34969999999998</v>
      </c>
      <c r="MQ17">
        <f>--491.1804</f>
        <v>491.18040000000002</v>
      </c>
      <c r="MR17">
        <f>--495.3003</f>
        <v>495.30029999999999</v>
      </c>
      <c r="MS17">
        <f>--493.4692</f>
        <v>493.4692</v>
      </c>
      <c r="MT17">
        <f>--409.2407</f>
        <v>409.2407</v>
      </c>
      <c r="MU17">
        <f>--413.3606</f>
        <v>413.36059999999998</v>
      </c>
      <c r="MV17">
        <f>--405.1208</f>
        <v>405.12079999999997</v>
      </c>
      <c r="MW17">
        <f>--406.9519</f>
        <v>406.95190000000002</v>
      </c>
      <c r="MX17">
        <f>--496.9025</f>
        <v>496.90249999999997</v>
      </c>
      <c r="MY17">
        <f>--495.7581</f>
        <v>495.75810000000001</v>
      </c>
      <c r="MZ17">
        <f>--490.036</f>
        <v>490.036</v>
      </c>
      <c r="NA17">
        <f>--473.3276</f>
        <v>473.32760000000002</v>
      </c>
      <c r="NB17">
        <f>--393.6768</f>
        <v>393.67680000000001</v>
      </c>
      <c r="NC17">
        <f>--395.7367</f>
        <v>395.73669999999998</v>
      </c>
      <c r="ND17">
        <f>--396.6522</f>
        <v>396.65219999999999</v>
      </c>
      <c r="NE17">
        <f>--395.2789</f>
        <v>395.27890000000002</v>
      </c>
      <c r="NF17">
        <f>--395.2789</f>
        <v>395.27890000000002</v>
      </c>
      <c r="NG17">
        <f>--395.2789</f>
        <v>395.27890000000002</v>
      </c>
      <c r="NH17">
        <f>--400.7721</f>
        <v>400.77210000000002</v>
      </c>
      <c r="NI17">
        <f>--394.8212</f>
        <v>394.82119999999998</v>
      </c>
      <c r="NJ17">
        <f>--399.6277</f>
        <v>399.6277</v>
      </c>
      <c r="NK17">
        <f>--396.1945</f>
        <v>396.19450000000001</v>
      </c>
      <c r="NL17">
        <f>--396.1945</f>
        <v>396.19450000000001</v>
      </c>
      <c r="NM17">
        <f>--400.0854</f>
        <v>400.08539999999999</v>
      </c>
      <c r="NN17">
        <f>--394.3634</f>
        <v>394.36340000000001</v>
      </c>
      <c r="NO17">
        <f>--396.1945</f>
        <v>396.19450000000001</v>
      </c>
      <c r="NP17">
        <f>--398.0255</f>
        <v>398.02550000000002</v>
      </c>
      <c r="NQ17">
        <f>--401.001</f>
        <v>401.00099999999998</v>
      </c>
      <c r="NR17">
        <f>--401.001</f>
        <v>401.00099999999998</v>
      </c>
      <c r="NS17">
        <f>--400.5432</f>
        <v>400.54320000000001</v>
      </c>
      <c r="NT17">
        <f>--400.0854</f>
        <v>400.08539999999999</v>
      </c>
      <c r="NU17">
        <f>--400.0854</f>
        <v>400.08539999999999</v>
      </c>
      <c r="NV17">
        <f>--399.3988</f>
        <v>399.39879999999999</v>
      </c>
      <c r="NW17">
        <f>--418.8538</f>
        <v>418.85379999999998</v>
      </c>
      <c r="NX17">
        <f>--399.1699</f>
        <v>399.16989999999998</v>
      </c>
      <c r="NY17">
        <f>--400.7721</f>
        <v>400.77210000000002</v>
      </c>
      <c r="NZ17">
        <f>--403.5187</f>
        <v>403.51870000000002</v>
      </c>
      <c r="OA17">
        <f>--402.6031</f>
        <v>402.60309999999998</v>
      </c>
      <c r="OB17">
        <f>--377.1973</f>
        <v>377.19729999999998</v>
      </c>
      <c r="OC17">
        <f>--402.1454</f>
        <v>402.1454</v>
      </c>
      <c r="OD17">
        <f>--377.655</f>
        <v>377.65499999999997</v>
      </c>
      <c r="OE17">
        <f>--379.715</f>
        <v>379.71499999999997</v>
      </c>
      <c r="OF17">
        <f>--378.1128</f>
        <v>378.11279999999999</v>
      </c>
      <c r="OG17">
        <f>--403.2898</f>
        <v>403.28980000000001</v>
      </c>
      <c r="OH17">
        <f>--402.832</f>
        <v>402.83199999999999</v>
      </c>
      <c r="OI17">
        <f>--402.832</f>
        <v>402.83199999999999</v>
      </c>
      <c r="OJ17">
        <f>--401.2299</f>
        <v>401.22989999999999</v>
      </c>
      <c r="OK17">
        <f>--403.5187</f>
        <v>403.51870000000002</v>
      </c>
      <c r="OL17">
        <f>--402.832</f>
        <v>402.83199999999999</v>
      </c>
      <c r="OM17">
        <f>--401.2299</f>
        <v>401.22989999999999</v>
      </c>
      <c r="ON17">
        <f>--403.2898</f>
        <v>403.28980000000001</v>
      </c>
      <c r="OO17">
        <f>--404.6631</f>
        <v>404.66309999999999</v>
      </c>
      <c r="OP17">
        <f>--405.1208</f>
        <v>405.12079999999997</v>
      </c>
      <c r="OQ17">
        <v>-1</v>
      </c>
      <c r="OR17">
        <v>-1</v>
      </c>
      <c r="OS17">
        <v>-1</v>
      </c>
      <c r="OT17">
        <v>-1</v>
      </c>
      <c r="OU17">
        <v>-1</v>
      </c>
      <c r="OV17">
        <v>-1</v>
      </c>
      <c r="OW17">
        <v>-1</v>
      </c>
      <c r="OX17">
        <v>-1</v>
      </c>
      <c r="OY17">
        <v>-1</v>
      </c>
      <c r="OZ17">
        <v>-1</v>
      </c>
      <c r="PA17">
        <v>-1</v>
      </c>
      <c r="PB17">
        <v>-1</v>
      </c>
      <c r="PC17">
        <v>-1</v>
      </c>
      <c r="PD17">
        <v>-1</v>
      </c>
      <c r="PE17">
        <v>-1</v>
      </c>
      <c r="PF17">
        <v>-1</v>
      </c>
      <c r="PG17">
        <v>-1</v>
      </c>
      <c r="PH17">
        <v>-1</v>
      </c>
      <c r="PI17">
        <v>-1</v>
      </c>
      <c r="PJ17">
        <v>-1</v>
      </c>
      <c r="PK17">
        <v>-1</v>
      </c>
      <c r="PL17">
        <v>-1</v>
      </c>
      <c r="PM17">
        <v>-1</v>
      </c>
      <c r="PN17">
        <v>-1</v>
      </c>
      <c r="PO17">
        <v>-1</v>
      </c>
      <c r="PP17">
        <v>-1</v>
      </c>
      <c r="PQ17">
        <v>-1</v>
      </c>
      <c r="PR17">
        <v>-1</v>
      </c>
      <c r="PS17">
        <v>-1</v>
      </c>
      <c r="PT17">
        <v>-1</v>
      </c>
      <c r="PU17">
        <v>-1</v>
      </c>
      <c r="PV17">
        <v>-1</v>
      </c>
      <c r="PW17">
        <v>-1</v>
      </c>
      <c r="PX17">
        <v>-1</v>
      </c>
      <c r="PY17">
        <v>-1</v>
      </c>
      <c r="PZ17">
        <v>-1</v>
      </c>
      <c r="QA17">
        <v>-1</v>
      </c>
      <c r="QB17">
        <v>-1</v>
      </c>
      <c r="QC17">
        <v>-1</v>
      </c>
      <c r="QD17">
        <v>-1</v>
      </c>
      <c r="QE17">
        <v>-1</v>
      </c>
      <c r="QF17">
        <v>-1</v>
      </c>
      <c r="QG17">
        <v>-1</v>
      </c>
      <c r="QH17">
        <v>-1</v>
      </c>
      <c r="QI17">
        <v>-1</v>
      </c>
      <c r="QJ17">
        <v>-1</v>
      </c>
      <c r="QK17">
        <v>-1</v>
      </c>
      <c r="QL17">
        <v>-1</v>
      </c>
    </row>
    <row r="18" spans="1:454" x14ac:dyDescent="0.25">
      <c r="A18" t="s">
        <v>2250</v>
      </c>
      <c r="B18" t="s">
        <v>869</v>
      </c>
      <c r="C18" t="s">
        <v>2251</v>
      </c>
      <c r="D18" t="s">
        <v>2252</v>
      </c>
      <c r="E18" t="s">
        <v>2253</v>
      </c>
      <c r="F18" t="s">
        <v>2133</v>
      </c>
      <c r="G18" t="s">
        <v>2254</v>
      </c>
      <c r="H18" t="s">
        <v>2255</v>
      </c>
      <c r="I18" t="s">
        <v>2027</v>
      </c>
      <c r="J18" t="s">
        <v>2256</v>
      </c>
      <c r="K18" t="s">
        <v>2257</v>
      </c>
      <c r="L18" t="s">
        <v>2258</v>
      </c>
      <c r="M18" t="s">
        <v>2259</v>
      </c>
      <c r="N18" t="s">
        <v>2260</v>
      </c>
      <c r="O18" t="s">
        <v>2261</v>
      </c>
      <c r="P18" t="s">
        <v>2262</v>
      </c>
      <c r="Q18" t="s">
        <v>929</v>
      </c>
      <c r="R18" t="s">
        <v>2263</v>
      </c>
      <c r="S18" t="s">
        <v>2264</v>
      </c>
      <c r="T18" t="s">
        <v>2134</v>
      </c>
      <c r="U18" t="s">
        <v>2265</v>
      </c>
      <c r="V18" t="s">
        <v>2266</v>
      </c>
      <c r="W18" t="s">
        <v>2267</v>
      </c>
      <c r="X18" t="s">
        <v>2268</v>
      </c>
      <c r="Y18" t="s">
        <v>1140</v>
      </c>
      <c r="Z18" t="s">
        <v>2269</v>
      </c>
      <c r="AA18" t="s">
        <v>2270</v>
      </c>
      <c r="AB18" t="s">
        <v>2271</v>
      </c>
      <c r="AC18" t="s">
        <v>2174</v>
      </c>
      <c r="AD18" t="s">
        <v>2173</v>
      </c>
      <c r="AE18" t="s">
        <v>2272</v>
      </c>
      <c r="AF18" t="s">
        <v>2273</v>
      </c>
      <c r="AG18" t="s">
        <v>2274</v>
      </c>
      <c r="AH18" t="s">
        <v>2275</v>
      </c>
      <c r="AI18" t="s">
        <v>2276</v>
      </c>
      <c r="AJ18" t="s">
        <v>2275</v>
      </c>
      <c r="AK18" t="s">
        <v>2277</v>
      </c>
      <c r="AN18" t="s">
        <v>2278</v>
      </c>
      <c r="AO18" t="s">
        <v>2168</v>
      </c>
      <c r="AP18" t="s">
        <v>2279</v>
      </c>
      <c r="AQ18" t="s">
        <v>2280</v>
      </c>
      <c r="AR18" t="s">
        <v>2281</v>
      </c>
      <c r="AS18" t="s">
        <v>2282</v>
      </c>
      <c r="AT18" t="s">
        <v>1044</v>
      </c>
      <c r="AU18" t="s">
        <v>2283</v>
      </c>
      <c r="AV18" t="s">
        <v>2284</v>
      </c>
      <c r="AW18" t="s">
        <v>927</v>
      </c>
      <c r="AX18" t="s">
        <v>2191</v>
      </c>
      <c r="AY18" t="s">
        <v>2285</v>
      </c>
      <c r="AZ18" t="s">
        <v>966</v>
      </c>
      <c r="BA18" t="s">
        <v>2286</v>
      </c>
      <c r="BB18" t="s">
        <v>2287</v>
      </c>
      <c r="BC18" t="s">
        <v>2288</v>
      </c>
      <c r="BD18" t="s">
        <v>2118</v>
      </c>
      <c r="BE18" t="s">
        <v>2289</v>
      </c>
      <c r="BF18" t="s">
        <v>2290</v>
      </c>
      <c r="BG18" t="s">
        <v>2291</v>
      </c>
      <c r="BH18" t="s">
        <v>2292</v>
      </c>
      <c r="BI18" t="s">
        <v>965</v>
      </c>
      <c r="BJ18" t="s">
        <v>2293</v>
      </c>
      <c r="BK18" t="s">
        <v>2294</v>
      </c>
      <c r="BL18" t="s">
        <v>2295</v>
      </c>
      <c r="BM18" t="s">
        <v>2296</v>
      </c>
      <c r="BN18" t="s">
        <v>2297</v>
      </c>
      <c r="BP18" t="s">
        <v>2298</v>
      </c>
      <c r="BQ18" t="s">
        <v>2299</v>
      </c>
      <c r="BR18" t="s">
        <v>2300</v>
      </c>
      <c r="BS18" t="s">
        <v>2301</v>
      </c>
      <c r="BT18" t="s">
        <v>2302</v>
      </c>
      <c r="BU18" t="s">
        <v>2303</v>
      </c>
      <c r="BV18" t="s">
        <v>2304</v>
      </c>
      <c r="BW18" t="s">
        <v>2305</v>
      </c>
      <c r="BX18" t="s">
        <v>2306</v>
      </c>
      <c r="BY18" t="s">
        <v>2307</v>
      </c>
      <c r="BZ18" t="s">
        <v>2308</v>
      </c>
      <c r="CA18" t="s">
        <v>2309</v>
      </c>
      <c r="CB18" t="s">
        <v>2112</v>
      </c>
      <c r="CC18" t="s">
        <v>2310</v>
      </c>
      <c r="CF18" t="s">
        <v>2266</v>
      </c>
      <c r="CG18" t="s">
        <v>871</v>
      </c>
      <c r="CH18" t="s">
        <v>2092</v>
      </c>
      <c r="CI18" t="s">
        <v>2308</v>
      </c>
      <c r="CK18" t="s">
        <v>2311</v>
      </c>
      <c r="CL18" t="s">
        <v>2312</v>
      </c>
      <c r="CN18" t="s">
        <v>2313</v>
      </c>
      <c r="CO18" t="s">
        <v>2314</v>
      </c>
      <c r="CQ18" t="s">
        <v>2315</v>
      </c>
      <c r="CR18" t="s">
        <v>2316</v>
      </c>
      <c r="CS18" t="s">
        <v>2317</v>
      </c>
      <c r="CT18" t="s">
        <v>2318</v>
      </c>
      <c r="CU18" t="s">
        <v>2319</v>
      </c>
      <c r="CV18" t="s">
        <v>2320</v>
      </c>
      <c r="CW18" t="s">
        <v>1282</v>
      </c>
      <c r="CY18" t="s">
        <v>2321</v>
      </c>
      <c r="CZ18" t="s">
        <v>2322</v>
      </c>
      <c r="DA18" t="s">
        <v>2323</v>
      </c>
      <c r="DB18" t="s">
        <v>2324</v>
      </c>
      <c r="DC18" t="s">
        <v>2325</v>
      </c>
      <c r="DD18" t="s">
        <v>2326</v>
      </c>
      <c r="DE18" t="s">
        <v>2327</v>
      </c>
      <c r="DF18" t="s">
        <v>2328</v>
      </c>
      <c r="DG18" t="s">
        <v>2257</v>
      </c>
      <c r="DH18" t="s">
        <v>2329</v>
      </c>
      <c r="DI18" t="s">
        <v>2330</v>
      </c>
      <c r="DJ18" t="s">
        <v>2331</v>
      </c>
      <c r="DK18" t="s">
        <v>1655</v>
      </c>
      <c r="DL18" t="s">
        <v>2332</v>
      </c>
      <c r="DM18" t="s">
        <v>2333</v>
      </c>
      <c r="DN18" t="s">
        <v>2334</v>
      </c>
      <c r="DO18" t="s">
        <v>2335</v>
      </c>
      <c r="DP18" t="s">
        <v>2336</v>
      </c>
      <c r="DQ18" t="s">
        <v>2245</v>
      </c>
      <c r="DR18" t="s">
        <v>2337</v>
      </c>
      <c r="DS18" t="s">
        <v>2042</v>
      </c>
      <c r="DT18" t="s">
        <v>1835</v>
      </c>
      <c r="DU18" t="s">
        <v>2338</v>
      </c>
      <c r="DV18" t="s">
        <v>2339</v>
      </c>
      <c r="DW18" t="s">
        <v>2340</v>
      </c>
      <c r="DX18" t="s">
        <v>2247</v>
      </c>
      <c r="DY18" t="s">
        <v>2341</v>
      </c>
      <c r="DZ18" t="s">
        <v>2342</v>
      </c>
      <c r="EA18" t="s">
        <v>2343</v>
      </c>
      <c r="EB18" t="s">
        <v>1680</v>
      </c>
      <c r="EC18" t="s">
        <v>2344</v>
      </c>
      <c r="ED18" t="s">
        <v>2345</v>
      </c>
      <c r="EE18" t="s">
        <v>2346</v>
      </c>
      <c r="EF18" t="s">
        <v>2347</v>
      </c>
      <c r="EG18" t="s">
        <v>2348</v>
      </c>
      <c r="EH18" t="s">
        <v>2349</v>
      </c>
      <c r="EI18" t="s">
        <v>2350</v>
      </c>
      <c r="EJ18" t="s">
        <v>2130</v>
      </c>
      <c r="EK18" t="s">
        <v>2351</v>
      </c>
      <c r="EL18" t="s">
        <v>2352</v>
      </c>
      <c r="EM18" t="s">
        <v>2353</v>
      </c>
      <c r="EN18" t="s">
        <v>2354</v>
      </c>
      <c r="EO18" t="s">
        <v>2352</v>
      </c>
      <c r="EP18" t="s">
        <v>2355</v>
      </c>
      <c r="EQ18" t="s">
        <v>2356</v>
      </c>
      <c r="ER18" t="s">
        <v>2357</v>
      </c>
      <c r="ES18" t="s">
        <v>2358</v>
      </c>
      <c r="ET18" t="s">
        <v>2359</v>
      </c>
      <c r="EU18" t="s">
        <v>1923</v>
      </c>
      <c r="EV18" t="s">
        <v>1891</v>
      </c>
      <c r="EW18" t="s">
        <v>990</v>
      </c>
      <c r="EY18" t="s">
        <v>2360</v>
      </c>
      <c r="EZ18" t="s">
        <v>2361</v>
      </c>
      <c r="FA18" t="s">
        <v>1828</v>
      </c>
      <c r="FB18" t="s">
        <v>1286</v>
      </c>
      <c r="FC18" t="s">
        <v>2198</v>
      </c>
      <c r="FD18" t="s">
        <v>2362</v>
      </c>
      <c r="FE18" t="s">
        <v>2363</v>
      </c>
      <c r="FF18" t="s">
        <v>2364</v>
      </c>
      <c r="FG18" t="s">
        <v>2365</v>
      </c>
      <c r="FH18" t="s">
        <v>2366</v>
      </c>
      <c r="FI18" t="s">
        <v>2367</v>
      </c>
      <c r="FJ18" t="s">
        <v>2368</v>
      </c>
      <c r="FK18" t="s">
        <v>2369</v>
      </c>
      <c r="FL18" t="s">
        <v>2370</v>
      </c>
      <c r="FM18" t="s">
        <v>2371</v>
      </c>
      <c r="FN18" t="s">
        <v>2372</v>
      </c>
      <c r="FO18" t="s">
        <v>2367</v>
      </c>
      <c r="FP18" t="s">
        <v>2373</v>
      </c>
      <c r="FQ18" t="s">
        <v>2374</v>
      </c>
      <c r="FS18" t="s">
        <v>2375</v>
      </c>
      <c r="FU18" t="s">
        <v>2376</v>
      </c>
      <c r="FV18" t="s">
        <v>2371</v>
      </c>
      <c r="FW18" t="s">
        <v>2377</v>
      </c>
      <c r="FX18" t="s">
        <v>2378</v>
      </c>
      <c r="FY18" t="s">
        <v>2336</v>
      </c>
      <c r="FZ18" t="s">
        <v>2379</v>
      </c>
      <c r="GB18" t="s">
        <v>2245</v>
      </c>
      <c r="GC18" t="s">
        <v>2380</v>
      </c>
      <c r="GD18" t="s">
        <v>2381</v>
      </c>
      <c r="GE18" t="s">
        <v>2382</v>
      </c>
      <c r="GF18" t="s">
        <v>2383</v>
      </c>
      <c r="GG18" t="s">
        <v>2203</v>
      </c>
      <c r="GH18" t="s">
        <v>2086</v>
      </c>
      <c r="GI18" t="s">
        <v>2334</v>
      </c>
      <c r="GJ18" t="s">
        <v>2384</v>
      </c>
      <c r="GK18" t="s">
        <v>2385</v>
      </c>
      <c r="GL18" t="s">
        <v>2386</v>
      </c>
      <c r="GM18" t="s">
        <v>2387</v>
      </c>
      <c r="GN18" t="s">
        <v>2388</v>
      </c>
      <c r="GO18" t="s">
        <v>2389</v>
      </c>
      <c r="GQ18" t="s">
        <v>2390</v>
      </c>
      <c r="GR18" t="s">
        <v>2391</v>
      </c>
      <c r="GS18" t="s">
        <v>2220</v>
      </c>
      <c r="GT18" t="s">
        <v>2392</v>
      </c>
      <c r="GU18" t="s">
        <v>1199</v>
      </c>
      <c r="GV18" t="s">
        <v>2393</v>
      </c>
      <c r="GW18">
        <f>-404.6631--403.9764</f>
        <v>-0.68669999999997344</v>
      </c>
      <c r="GX18">
        <f>-403.9764--403.5187</f>
        <v>-0.45769999999998845</v>
      </c>
      <c r="GY18">
        <f>-406.9519--412.2162</f>
        <v>5.2642999999999915</v>
      </c>
      <c r="HA18">
        <f>-403.5187--402.3743</f>
        <v>-1.1444000000000187</v>
      </c>
      <c r="HB18">
        <f>-404.2053--404.892</f>
        <v>0.68669999999997344</v>
      </c>
      <c r="HC18">
        <f>-405.1208--404.2053</f>
        <v>-0.9154999999999518</v>
      </c>
      <c r="HD18">
        <f>-403.5187--404.6631</f>
        <v>1.1443999999999619</v>
      </c>
      <c r="HE18">
        <f>-404.892--404.4342</f>
        <v>-0.45780000000002019</v>
      </c>
      <c r="HF18">
        <f>-404.4342--403.9764</f>
        <v>-0.45779999999996335</v>
      </c>
      <c r="HG18">
        <f>-402.1454--402.3743</f>
        <v>0.2289000000000101</v>
      </c>
      <c r="HH18">
        <f>-402.832--403.9764</f>
        <v>1.1444000000000187</v>
      </c>
      <c r="HI18">
        <f>-403.7476--404.4342</f>
        <v>0.68659999999999854</v>
      </c>
      <c r="HJ18">
        <f>-404.2053--409.0118</f>
        <v>4.8064999999999714</v>
      </c>
      <c r="HK18">
        <f>-381.0883--381.3171</f>
        <v>0.22879999999997835</v>
      </c>
      <c r="HL18">
        <f>-379.9438--380.6305</f>
        <v>0.68669999999997344</v>
      </c>
      <c r="HM18">
        <f>-404.2053--405.3497</f>
        <v>1.1443999999999619</v>
      </c>
      <c r="HN18">
        <f>-404.4342--405.5786</f>
        <v>1.1444000000000187</v>
      </c>
      <c r="HO18">
        <f>-403.5187--404.4342</f>
        <v>0.9154999999999518</v>
      </c>
      <c r="HP18">
        <f>-404.4342--405.8075</f>
        <v>1.3733000000000288</v>
      </c>
      <c r="HR18">
        <f>-448.3795--447.464</f>
        <v>-0.91550000000000864</v>
      </c>
      <c r="HS18">
        <f>-488.6627--488.205</f>
        <v>-0.45769999999998845</v>
      </c>
      <c r="HT18">
        <f>-493.927--493.2404</f>
        <v>-0.68659999999999854</v>
      </c>
      <c r="HU18">
        <f>-496.6736--496.2158</f>
        <v>-0.45780000000002019</v>
      </c>
      <c r="HV18">
        <f>-403.5187--403.7476</f>
        <v>0.22889999999995325</v>
      </c>
      <c r="HW18">
        <f>-405.3497--405.1208</f>
        <v>-0.2289000000000101</v>
      </c>
      <c r="HX18">
        <f>-403.7476--403.0609</f>
        <v>-0.68669999999997344</v>
      </c>
      <c r="HY18">
        <f>-401.6876--400.7721</f>
        <v>-0.9154999999999518</v>
      </c>
      <c r="HZ18">
        <f>-399.3988--403.2898</f>
        <v>3.8910000000000196</v>
      </c>
      <c r="IA18">
        <f>-399.8566--399.1699</f>
        <v>-0.68670000000003029</v>
      </c>
      <c r="IB18">
        <f>-400.7721--401.4587</f>
        <v>0.68659999999999854</v>
      </c>
      <c r="IC18">
        <f>-398.7122--399.1699</f>
        <v>0.45769999999998845</v>
      </c>
      <c r="ID18">
        <f>-402.832--403.5187</f>
        <v>0.68670000000003029</v>
      </c>
      <c r="IE18">
        <f>-405.5786--404.6631</f>
        <v>-0.91550000000000864</v>
      </c>
      <c r="IF18">
        <f>-403.2898--402.6031</f>
        <v>-0.68670000000003029</v>
      </c>
      <c r="IG18">
        <f>-402.3743--401.6876</f>
        <v>-0.68670000000003029</v>
      </c>
      <c r="IH18">
        <f>-404.892--405.1208</f>
        <v>0.22879999999997835</v>
      </c>
      <c r="II18">
        <f>-402.1454--402.832</f>
        <v>0.68659999999999854</v>
      </c>
      <c r="IJ18">
        <f>-404.6631--404.4342</f>
        <v>-0.2289000000000101</v>
      </c>
      <c r="IK18">
        <f>-404.6631--405.5786</f>
        <v>0.91550000000000864</v>
      </c>
      <c r="IL18">
        <f>-366.2109--364.8376</f>
        <v>-1.373299999999972</v>
      </c>
      <c r="IM18">
        <f>-330.2765--329.5898</f>
        <v>-0.68669999999997344</v>
      </c>
      <c r="IP18">
        <f>-497.5891--498.2758</f>
        <v>0.68670000000003029</v>
      </c>
      <c r="IS18">
        <f>-414.7339--414.9628</f>
        <v>0.2289000000000101</v>
      </c>
      <c r="IU18">
        <f>-490.4938--491.1804</f>
        <v>0.68659999999999854</v>
      </c>
      <c r="IW18">
        <f>-414.505--416.5649</f>
        <v>2.0599000000000274</v>
      </c>
      <c r="IY18">
        <f>-496.9025--497.5891</f>
        <v>0.68659999999999854</v>
      </c>
      <c r="IZ18">
        <f>-497.1313--496.9025</f>
        <v>-0.2288000000000352</v>
      </c>
      <c r="JA18">
        <f>-490.7227--492.3248</f>
        <v>1.6021000000000072</v>
      </c>
      <c r="JB18">
        <f>-493.4692--493.0115</f>
        <v>-0.45769999999998845</v>
      </c>
      <c r="JC18">
        <f>-410.614--409.9274</f>
        <v>-0.68659999999999854</v>
      </c>
      <c r="JD18">
        <f>-395.2789--395.7367</f>
        <v>0.45779999999996335</v>
      </c>
      <c r="JF18">
        <f>-400.3143--399.6277</f>
        <v>-0.68659999999999854</v>
      </c>
      <c r="JG18">
        <f>-396.6522--397.3389</f>
        <v>0.68670000000003029</v>
      </c>
      <c r="JH18">
        <f>-404.4342--404.6631</f>
        <v>0.2289000000000101</v>
      </c>
      <c r="JI18">
        <f>-399.6277--400.3143</f>
        <v>0.68659999999999854</v>
      </c>
      <c r="JJ18">
        <f>-401.9165--403.7476</f>
        <v>1.8310999999999922</v>
      </c>
      <c r="JK18">
        <f>-403.2898--403.9764</f>
        <v>0.68659999999999854</v>
      </c>
      <c r="JL18">
        <f>-399.6277--399.3988</f>
        <v>-0.2289000000000101</v>
      </c>
      <c r="JM18">
        <f>-403.5187--404.4342</f>
        <v>0.9154999999999518</v>
      </c>
      <c r="JN18">
        <f>-404.892--407.8674</f>
        <v>2.9753999999999792</v>
      </c>
      <c r="JO18">
        <f>-405.1208--404.6631</f>
        <v>-0.45769999999998845</v>
      </c>
      <c r="JP18">
        <f>-404.4342--404.2053</f>
        <v>-0.22889999999995325</v>
      </c>
      <c r="JQ18">
        <f>-403.7476--403.9764</f>
        <v>0.2288000000000352</v>
      </c>
      <c r="JR18">
        <f>-402.6031--404.6631</f>
        <v>2.0600000000000023</v>
      </c>
      <c r="JS18">
        <f>-404.6631--404.2053</f>
        <v>-0.45779999999996335</v>
      </c>
      <c r="JT18">
        <f>-406.4941--406.2653</f>
        <v>-0.22879999999997835</v>
      </c>
      <c r="JU18">
        <f>-401.9165--402.3743</f>
        <v>0.45780000000002019</v>
      </c>
      <c r="JV18">
        <f>-402.832--402.6031</f>
        <v>-0.2289000000000101</v>
      </c>
      <c r="JW18">
        <f>-404.892--405.5786</f>
        <v>0.68659999999999854</v>
      </c>
      <c r="JX18">
        <f>-403.5187--402.832</f>
        <v>-0.68670000000003029</v>
      </c>
      <c r="JY18">
        <f>-447.6929--447.9218</f>
        <v>0.2289000000000101</v>
      </c>
      <c r="JZ18">
        <f>-403.7476--403.0609</f>
        <v>-0.68669999999997344</v>
      </c>
      <c r="KA18">
        <f>-417.7094--418.396</f>
        <v>0.68659999999999854</v>
      </c>
      <c r="KB18">
        <f>-402.832--402.1454</f>
        <v>-0.68659999999999854</v>
      </c>
      <c r="KC18">
        <f>-403.7476--404.2053</f>
        <v>0.45770000000004529</v>
      </c>
      <c r="KD18">
        <f>-404.2053--403.7476</f>
        <v>-0.45770000000004529</v>
      </c>
      <c r="KE18">
        <f>-381.3171--381.7749</f>
        <v>0.45780000000002019</v>
      </c>
      <c r="KG18">
        <f>-380.8594--381.0883</f>
        <v>0.2289000000000101</v>
      </c>
      <c r="KH18">
        <f>-381.7749--382.2327</f>
        <v>0.45780000000002019</v>
      </c>
      <c r="KI18">
        <f>-380.1727--381.0883</f>
        <v>0.91559999999998354</v>
      </c>
      <c r="KJ18">
        <f>-403.9764--404.4342</f>
        <v>0.45779999999996335</v>
      </c>
      <c r="KK18">
        <f>-403.5187--403.0609</f>
        <v>-0.45780000000002019</v>
      </c>
      <c r="KM18">
        <f>-403.2898--403.0609</f>
        <v>-0.2289000000000101</v>
      </c>
      <c r="KN18">
        <f>-402.6031--403.2898</f>
        <v>0.68670000000003029</v>
      </c>
      <c r="KO18">
        <f>-407.1808--405.1208</f>
        <v>-2.0600000000000023</v>
      </c>
      <c r="KP18">
        <f>-402.6031--411.9873</f>
        <v>9.3842000000000212</v>
      </c>
      <c r="KQ18">
        <f>-412.9028--415.4205</f>
        <v>2.5176999999999907</v>
      </c>
      <c r="KR18">
        <f>-404.6631--404.4342</f>
        <v>-0.2289000000000101</v>
      </c>
      <c r="KS18">
        <f>-402.832--402.1454</f>
        <v>-0.68659999999999854</v>
      </c>
      <c r="KT18">
        <f>-405.8075--406.9519</f>
        <v>1.1444000000000187</v>
      </c>
      <c r="KU18">
        <f>-405.5786--405.8075</f>
        <v>0.2289000000000101</v>
      </c>
      <c r="KV18">
        <f>-408.0963--410.3851</f>
        <v>2.2888000000000375</v>
      </c>
      <c r="KW18">
        <f>-403.9764--402.832</f>
        <v>-1.1444000000000187</v>
      </c>
      <c r="KX18">
        <f>-403.7476--402.6031</f>
        <v>-1.1444999999999936</v>
      </c>
      <c r="KZ18">
        <f>-402.832--404.2053</f>
        <v>1.3733000000000288</v>
      </c>
      <c r="LB18">
        <f>-406.0364--407.1808</f>
        <v>1.1443999999999619</v>
      </c>
      <c r="LC18">
        <f>-405.3497--404.6631</f>
        <v>-0.68659999999999854</v>
      </c>
      <c r="LD18">
        <f>-405.8075--411.3007</f>
        <v>5.4932000000000016</v>
      </c>
      <c r="LE18">
        <f>-382.6904--381.7749</f>
        <v>-0.91550000000000864</v>
      </c>
      <c r="LG18">
        <f>-405.8075--406.0364</f>
        <v>0.2289000000000101</v>
      </c>
      <c r="LH18">
        <f>-402.832--403.2898</f>
        <v>0.45780000000002019</v>
      </c>
      <c r="LJ18">
        <f>-405.3497--404.4342</f>
        <v>-0.91550000000000864</v>
      </c>
      <c r="LK18">
        <f>-406.9519--406.4941</f>
        <v>-0.45780000000002019</v>
      </c>
      <c r="LL18">
        <f>-408.3252--407.4097</f>
        <v>-0.91550000000000864</v>
      </c>
      <c r="LM18">
        <f>-415.1917--413.3606</f>
        <v>-1.831100000000049</v>
      </c>
      <c r="LN18">
        <f>-408.3252--408.5541</f>
        <v>0.2289000000000101</v>
      </c>
      <c r="LO18">
        <f>-483.3984--483.6273</f>
        <v>0.2289000000000101</v>
      </c>
      <c r="LP18">
        <f>-484.0851--482.9407</f>
        <v>-1.1444000000000187</v>
      </c>
      <c r="LQ18">
        <f>-489.8071--491.1804</f>
        <v>1.3733000000000288</v>
      </c>
      <c r="LR18">
        <f>-401.001--399.6277</f>
        <v>-1.373299999999972</v>
      </c>
      <c r="LS18">
        <f>-402.832--401.2299</f>
        <v>-1.6021000000000072</v>
      </c>
      <c r="LT18">
        <f>-402.1454--401.2299</f>
        <v>-0.91550000000000864</v>
      </c>
      <c r="LU18">
        <f>-402.3743--402.1454</f>
        <v>-0.2289000000000101</v>
      </c>
      <c r="LV18">
        <f>-401.9165--401.4587</f>
        <v>-0.45779999999996335</v>
      </c>
      <c r="LW18">
        <f>-399.8566--398.7122</f>
        <v>-1.1444000000000187</v>
      </c>
      <c r="LY18">
        <f>-401.001--399.8566</f>
        <v>-1.1443999999999619</v>
      </c>
      <c r="LZ18">
        <f>-398.7122--398.4833</f>
        <v>-0.2289000000000101</v>
      </c>
      <c r="MA18">
        <f>-403.7476--403.2898</f>
        <v>-0.45779999999996335</v>
      </c>
      <c r="MB18">
        <f>-403.2898--399.8566</f>
        <v>-3.4331999999999994</v>
      </c>
      <c r="MC18">
        <f>-406.4941--407.1808</f>
        <v>0.68669999999997344</v>
      </c>
      <c r="MD18">
        <f>-402.6031--402.1454</f>
        <v>-0.45769999999998845</v>
      </c>
      <c r="ME18">
        <f>-404.892--404.4342</f>
        <v>-0.45780000000002019</v>
      </c>
      <c r="MF18">
        <f>-406.0364--405.8075</f>
        <v>-0.2289000000000101</v>
      </c>
      <c r="MG18">
        <f>-421.8292--421.3715</f>
        <v>-0.45769999999998845</v>
      </c>
      <c r="MH18">
        <f>-416.7938--416.3361</f>
        <v>-0.45769999999998845</v>
      </c>
      <c r="MI18">
        <f>-403.7476--404.2053</f>
        <v>0.45770000000004529</v>
      </c>
      <c r="MK18">
        <f>-405.3497--406.0364</f>
        <v>0.68670000000003029</v>
      </c>
      <c r="ML18">
        <f>-360.9467--359.5734</f>
        <v>-1.3733000000000288</v>
      </c>
      <c r="MM18">
        <f>-326.1566--324.5544</f>
        <v>-1.6022000000000389</v>
      </c>
      <c r="MP18">
        <f>-406.2653--405.5786</f>
        <v>-0.68670000000003029</v>
      </c>
      <c r="MQ18">
        <f>-493.0115--493.4692</f>
        <v>0.45769999999998845</v>
      </c>
      <c r="MR18">
        <f>-496.4447--496.9025</f>
        <v>0.45779999999996335</v>
      </c>
      <c r="MS18">
        <f>-495.3003--495.0714</f>
        <v>-0.2289000000000101</v>
      </c>
      <c r="MU18">
        <f>-410.8429--411.7584</f>
        <v>0.91550000000000864</v>
      </c>
      <c r="MV18">
        <f>-410.8429--410.614</f>
        <v>-0.2289000000000101</v>
      </c>
      <c r="MW18">
        <f>-414.505--415.4205</f>
        <v>0.91550000000000864</v>
      </c>
      <c r="MX18">
        <f>-498.9624--498.7335</f>
        <v>-0.2289000000000101</v>
      </c>
      <c r="MY18">
        <f>-498.9624--501.709</f>
        <v>2.7466000000000008</v>
      </c>
      <c r="MZ18">
        <f>-490.7227--490.4938</f>
        <v>-0.22889999999995325</v>
      </c>
      <c r="NA18">
        <f>-472.641--475.6165</f>
        <v>2.9754999999999541</v>
      </c>
      <c r="NB18">
        <f>-396.8811--395.7367</f>
        <v>-1.1444000000000187</v>
      </c>
      <c r="NC18">
        <f>-399.1699--398.7122</f>
        <v>-0.45769999999998845</v>
      </c>
      <c r="ND18">
        <f>-397.5677--397.11</f>
        <v>-0.45769999999998845</v>
      </c>
      <c r="NE18">
        <f>-399.1699--401.9165</f>
        <v>2.7466000000000008</v>
      </c>
      <c r="NF18">
        <f>-398.941--399.3988</f>
        <v>0.45780000000002019</v>
      </c>
      <c r="NG18">
        <f>-401.6876--400.7721</f>
        <v>-0.9154999999999518</v>
      </c>
      <c r="NH18">
        <f>-403.5187--402.832</f>
        <v>-0.68670000000003029</v>
      </c>
      <c r="NI18">
        <f>-400.3143--400.5432</f>
        <v>0.2289000000000101</v>
      </c>
      <c r="NJ18">
        <f>-403.7476--405.3497</f>
        <v>1.6021000000000072</v>
      </c>
      <c r="NK18">
        <f>-398.0255--398.4833</f>
        <v>0.45779999999996335</v>
      </c>
      <c r="NL18">
        <f>-398.4833--398.7122</f>
        <v>0.2289000000000101</v>
      </c>
      <c r="NM18">
        <f>-406.2653--408.0963</f>
        <v>1.8309999999999604</v>
      </c>
      <c r="NN18">
        <f>-397.5677--398.0255</f>
        <v>0.45780000000002019</v>
      </c>
      <c r="NO18">
        <f>-405.1208--403.9764</f>
        <v>-1.1443999999999619</v>
      </c>
      <c r="NP18">
        <f>-403.7476--403.0609</f>
        <v>-0.68669999999997344</v>
      </c>
      <c r="NQ18">
        <f>-401.4587--402.3743</f>
        <v>0.91559999999998354</v>
      </c>
      <c r="NS18">
        <f>-403.2898--402.832</f>
        <v>-0.45780000000002019</v>
      </c>
      <c r="NV18">
        <f>-401.2299--401.4587</f>
        <v>0.2288000000000352</v>
      </c>
      <c r="NW18">
        <f>-426.4069--426.6357</f>
        <v>0.22879999999997835</v>
      </c>
      <c r="NX18">
        <f>-401.2299--401.9165</f>
        <v>0.68659999999999854</v>
      </c>
      <c r="NY18">
        <f>-403.2898--403.0609</f>
        <v>-0.2289000000000101</v>
      </c>
      <c r="NZ18">
        <f>-402.832--403.5187</f>
        <v>0.68670000000003029</v>
      </c>
      <c r="OA18">
        <f>-401.4587--402.6031</f>
        <v>1.1443999999999619</v>
      </c>
      <c r="OB18">
        <f>-381.3171--380.6305</f>
        <v>-0.68659999999999854</v>
      </c>
      <c r="OC18">
        <f>-403.2898--402.832</f>
        <v>-0.45780000000002019</v>
      </c>
      <c r="OD18">
        <f>-381.3171--381.0883</f>
        <v>-0.22879999999997835</v>
      </c>
      <c r="OE18">
        <f>-380.8594--381.7749</f>
        <v>0.91550000000000864</v>
      </c>
      <c r="OF18">
        <f>-381.7749--383.606</f>
        <v>1.8310999999999922</v>
      </c>
      <c r="OG18">
        <f>-404.892--405.8075</f>
        <v>0.91550000000000864</v>
      </c>
      <c r="OH18">
        <f>-403.7476--404.4342</f>
        <v>0.68659999999999854</v>
      </c>
      <c r="OJ18">
        <f>-403.5187--404.892</f>
        <v>1.373299999999972</v>
      </c>
      <c r="OL18">
        <f>-402.3743--402.832</f>
        <v>0.45769999999998845</v>
      </c>
      <c r="OM18">
        <f>-403.5187--403.2898</f>
        <v>-0.2289000000000101</v>
      </c>
      <c r="ON18">
        <f>-406.2653--407.4097</f>
        <v>1.1443999999999619</v>
      </c>
      <c r="OO18">
        <f>-419.0826--421.3715</f>
        <v>2.2889000000000124</v>
      </c>
      <c r="OP18">
        <f>-404.6631--405.8075</f>
        <v>1.1444000000000187</v>
      </c>
      <c r="QE18">
        <v>-1</v>
      </c>
      <c r="QF18">
        <v>-1</v>
      </c>
      <c r="QG18">
        <v>-1</v>
      </c>
      <c r="QH18">
        <v>-1</v>
      </c>
      <c r="QI18">
        <v>-1</v>
      </c>
      <c r="QJ18">
        <v>-1</v>
      </c>
      <c r="QK18">
        <v>-1</v>
      </c>
      <c r="QL18">
        <v>-1</v>
      </c>
    </row>
    <row r="19" spans="1:454" x14ac:dyDescent="0.25">
      <c r="A19" t="s">
        <v>2394</v>
      </c>
      <c r="B19" t="s">
        <v>1292</v>
      </c>
      <c r="C19" t="s">
        <v>2395</v>
      </c>
      <c r="D19" t="s">
        <v>2110</v>
      </c>
      <c r="E19" t="s">
        <v>2396</v>
      </c>
      <c r="F19" t="s">
        <v>2397</v>
      </c>
      <c r="G19" t="s">
        <v>2398</v>
      </c>
      <c r="H19" t="s">
        <v>2091</v>
      </c>
      <c r="I19" t="s">
        <v>1652</v>
      </c>
      <c r="K19" t="s">
        <v>2399</v>
      </c>
      <c r="L19" t="s">
        <v>2400</v>
      </c>
      <c r="M19" t="s">
        <v>1118</v>
      </c>
      <c r="Q19" t="s">
        <v>2120</v>
      </c>
      <c r="R19" t="s">
        <v>2401</v>
      </c>
      <c r="S19" t="s">
        <v>2205</v>
      </c>
      <c r="T19" t="s">
        <v>2198</v>
      </c>
      <c r="U19" t="s">
        <v>2252</v>
      </c>
      <c r="X19" t="s">
        <v>2402</v>
      </c>
      <c r="Y19" t="s">
        <v>2403</v>
      </c>
      <c r="Z19" t="s">
        <v>2404</v>
      </c>
      <c r="AA19" t="s">
        <v>2286</v>
      </c>
      <c r="AB19" t="s">
        <v>1850</v>
      </c>
      <c r="AC19" t="s">
        <v>2334</v>
      </c>
      <c r="AF19" t="s">
        <v>2092</v>
      </c>
      <c r="AG19" t="s">
        <v>2405</v>
      </c>
      <c r="AH19" t="s">
        <v>2406</v>
      </c>
      <c r="AI19" t="s">
        <v>2407</v>
      </c>
      <c r="AJ19" t="s">
        <v>2408</v>
      </c>
      <c r="AK19" t="s">
        <v>2409</v>
      </c>
      <c r="AL19" t="s">
        <v>2381</v>
      </c>
      <c r="AM19" t="s">
        <v>2410</v>
      </c>
      <c r="AN19" t="s">
        <v>2407</v>
      </c>
      <c r="AO19" t="s">
        <v>2370</v>
      </c>
      <c r="AP19" t="s">
        <v>2205</v>
      </c>
      <c r="AQ19" t="s">
        <v>2411</v>
      </c>
      <c r="AR19" t="s">
        <v>2412</v>
      </c>
      <c r="AS19" t="s">
        <v>2413</v>
      </c>
      <c r="AU19" t="s">
        <v>2414</v>
      </c>
      <c r="AV19" t="s">
        <v>2102</v>
      </c>
      <c r="AW19" t="s">
        <v>1964</v>
      </c>
      <c r="AX19" t="s">
        <v>878</v>
      </c>
      <c r="AY19" t="s">
        <v>939</v>
      </c>
      <c r="AZ19" t="s">
        <v>872</v>
      </c>
      <c r="BB19" t="s">
        <v>2415</v>
      </c>
      <c r="BC19" t="s">
        <v>1208</v>
      </c>
      <c r="BD19" t="s">
        <v>1439</v>
      </c>
      <c r="BE19" t="s">
        <v>1884</v>
      </c>
      <c r="BF19" t="s">
        <v>2416</v>
      </c>
      <c r="BG19" t="s">
        <v>2138</v>
      </c>
      <c r="BH19" t="s">
        <v>2417</v>
      </c>
      <c r="BI19" t="s">
        <v>2418</v>
      </c>
      <c r="BJ19" t="s">
        <v>1003</v>
      </c>
      <c r="BK19" t="s">
        <v>2129</v>
      </c>
      <c r="BL19" t="s">
        <v>2288</v>
      </c>
      <c r="BM19" t="s">
        <v>1152</v>
      </c>
      <c r="BN19" t="s">
        <v>2385</v>
      </c>
      <c r="BO19" t="s">
        <v>2091</v>
      </c>
      <c r="BQ19" t="s">
        <v>2419</v>
      </c>
      <c r="BR19" t="s">
        <v>2205</v>
      </c>
      <c r="BS19" t="s">
        <v>2247</v>
      </c>
      <c r="BT19" t="s">
        <v>2420</v>
      </c>
      <c r="BU19" t="s">
        <v>2421</v>
      </c>
      <c r="BV19" t="s">
        <v>2422</v>
      </c>
      <c r="BW19" t="s">
        <v>2303</v>
      </c>
      <c r="BX19" t="s">
        <v>2423</v>
      </c>
      <c r="BY19" t="s">
        <v>2424</v>
      </c>
      <c r="BZ19" t="s">
        <v>2425</v>
      </c>
      <c r="CB19" t="s">
        <v>2426</v>
      </c>
      <c r="CC19" t="s">
        <v>2427</v>
      </c>
      <c r="CD19" t="s">
        <v>2428</v>
      </c>
      <c r="CE19" t="s">
        <v>2429</v>
      </c>
      <c r="CF19" t="s">
        <v>2372</v>
      </c>
      <c r="CG19" t="s">
        <v>1809</v>
      </c>
      <c r="CH19" t="s">
        <v>2430</v>
      </c>
      <c r="CI19" t="s">
        <v>2351</v>
      </c>
      <c r="CJ19" t="s">
        <v>2431</v>
      </c>
      <c r="CM19" t="s">
        <v>2118</v>
      </c>
      <c r="CN19" t="s">
        <v>1863</v>
      </c>
      <c r="CO19" t="s">
        <v>2092</v>
      </c>
      <c r="CP19" t="s">
        <v>2408</v>
      </c>
      <c r="CR19" t="s">
        <v>2432</v>
      </c>
      <c r="CS19" t="s">
        <v>2433</v>
      </c>
      <c r="CT19" t="s">
        <v>2312</v>
      </c>
      <c r="CU19" t="s">
        <v>2434</v>
      </c>
      <c r="CV19" t="s">
        <v>2314</v>
      </c>
      <c r="CW19" t="s">
        <v>1457</v>
      </c>
      <c r="CX19">
        <v>-418.39600000000002</v>
      </c>
      <c r="CY19">
        <v>-416.33609999999999</v>
      </c>
      <c r="CZ19">
        <v>-420.22710000000001</v>
      </c>
      <c r="DA19">
        <v>-417.48050000000001</v>
      </c>
      <c r="DB19">
        <v>-417.48050000000001</v>
      </c>
      <c r="DC19">
        <v>-419.08260000000001</v>
      </c>
      <c r="DD19">
        <v>-417.02269999999999</v>
      </c>
      <c r="DE19">
        <v>-418.39600000000002</v>
      </c>
      <c r="DF19">
        <v>-417.93819999999999</v>
      </c>
      <c r="DG19">
        <v>-418.85379999999998</v>
      </c>
      <c r="DH19">
        <v>-415.87830000000002</v>
      </c>
      <c r="DI19">
        <v>-418.39600000000002</v>
      </c>
      <c r="DJ19">
        <v>-418.62490000000003</v>
      </c>
      <c r="DK19">
        <v>-413.36059999999998</v>
      </c>
      <c r="DL19">
        <v>-413.58949999999999</v>
      </c>
      <c r="DM19">
        <v>-417.70940000000002</v>
      </c>
      <c r="DN19">
        <v>-418.85379999999998</v>
      </c>
      <c r="DO19">
        <v>-415.4205</v>
      </c>
      <c r="DP19">
        <v>-417.93819999999999</v>
      </c>
      <c r="DQ19">
        <v>-418.62490000000003</v>
      </c>
      <c r="DR19">
        <v>-416.56490000000002</v>
      </c>
      <c r="DS19">
        <v>-404.66309999999999</v>
      </c>
      <c r="DT19">
        <v>-404.20530000000002</v>
      </c>
      <c r="DU19">
        <v>-605.16359999999997</v>
      </c>
      <c r="DV19">
        <v>-605.39250000000004</v>
      </c>
      <c r="DW19">
        <v>-612.71669999999995</v>
      </c>
      <c r="DX19">
        <v>-414.04719999999998</v>
      </c>
      <c r="DY19">
        <v>-418.85379999999998</v>
      </c>
      <c r="DZ19">
        <v>-418.62490000000003</v>
      </c>
      <c r="EA19">
        <v>-417.48050000000001</v>
      </c>
      <c r="EB19">
        <v>-418.62490000000003</v>
      </c>
      <c r="EC19">
        <v>-416.10719999999998</v>
      </c>
      <c r="ED19">
        <v>-418.1671</v>
      </c>
      <c r="EE19">
        <v>-418.85379999999998</v>
      </c>
      <c r="EF19">
        <v>-417.70940000000002</v>
      </c>
      <c r="EG19">
        <v>-419.08260000000001</v>
      </c>
      <c r="EH19">
        <v>-420.91370000000001</v>
      </c>
      <c r="EI19">
        <v>-419.9982</v>
      </c>
      <c r="EJ19">
        <v>-422.05810000000002</v>
      </c>
      <c r="EK19">
        <v>-419.9982</v>
      </c>
      <c r="EL19">
        <v>-416.56490000000002</v>
      </c>
      <c r="EM19">
        <v>-406.4941</v>
      </c>
      <c r="EN19">
        <v>-405.34969999999998</v>
      </c>
      <c r="EO19">
        <v>-417.70940000000002</v>
      </c>
      <c r="EP19">
        <v>-416.79379999999998</v>
      </c>
      <c r="EQ19">
        <v>-414.73390000000001</v>
      </c>
      <c r="ER19">
        <v>-345.3827</v>
      </c>
      <c r="ES19">
        <v>-366.43979999999999</v>
      </c>
      <c r="ET19">
        <v>-607.68129999999996</v>
      </c>
      <c r="EU19">
        <v>-615.23440000000005</v>
      </c>
      <c r="EV19">
        <v>-406.26530000000002</v>
      </c>
      <c r="EW19">
        <v>-614.77660000000003</v>
      </c>
      <c r="EX19">
        <v>-614.77660000000003</v>
      </c>
      <c r="EY19">
        <v>-617.52319999999997</v>
      </c>
      <c r="EZ19">
        <v>-407.86739999999998</v>
      </c>
      <c r="FA19">
        <v>-408.3252</v>
      </c>
      <c r="FB19">
        <v>-408.3252</v>
      </c>
      <c r="FC19">
        <v>-407.63850000000002</v>
      </c>
      <c r="FD19">
        <v>-619.58309999999994</v>
      </c>
      <c r="FE19">
        <v>-620.04089999999997</v>
      </c>
      <c r="FF19">
        <v>-611.34339999999997</v>
      </c>
      <c r="FG19">
        <v>-601.27260000000001</v>
      </c>
      <c r="FH19">
        <v>-416.33609999999999</v>
      </c>
      <c r="FI19">
        <v>-415.87830000000002</v>
      </c>
      <c r="FJ19">
        <v>-417.2516</v>
      </c>
      <c r="FK19">
        <v>-415.64940000000001</v>
      </c>
      <c r="FL19">
        <v>-414.505</v>
      </c>
      <c r="FM19">
        <v>-416.33609999999999</v>
      </c>
      <c r="FN19">
        <v>-417.02269999999999</v>
      </c>
      <c r="FO19">
        <v>-419.76929999999999</v>
      </c>
      <c r="FP19">
        <v>-419.54039999999998</v>
      </c>
      <c r="FQ19">
        <v>-418.85379999999998</v>
      </c>
      <c r="FR19">
        <v>-419.31150000000002</v>
      </c>
      <c r="FS19">
        <v>-421.82920000000001</v>
      </c>
      <c r="FT19">
        <v>-420.22710000000001</v>
      </c>
      <c r="FU19">
        <v>-420.22710000000001</v>
      </c>
      <c r="FV19">
        <v>-423.88920000000002</v>
      </c>
      <c r="FW19">
        <v>-422.51589999999999</v>
      </c>
      <c r="FX19">
        <v>-421.37150000000003</v>
      </c>
      <c r="FY19">
        <v>-427.32240000000002</v>
      </c>
      <c r="FZ19">
        <v>-423.4314</v>
      </c>
      <c r="GA19">
        <v>-424.11799999999999</v>
      </c>
      <c r="GB19">
        <v>-421.6003</v>
      </c>
      <c r="GC19">
        <v>-469.4366</v>
      </c>
      <c r="GD19">
        <v>-418.39600000000002</v>
      </c>
      <c r="GE19">
        <v>-421.37150000000003</v>
      </c>
      <c r="GF19">
        <v>-418.85379999999998</v>
      </c>
      <c r="GG19">
        <v>-418.1671</v>
      </c>
      <c r="GH19">
        <v>-417.2516</v>
      </c>
      <c r="GI19">
        <v>-417.48050000000001</v>
      </c>
      <c r="GJ19">
        <v>-414.505</v>
      </c>
      <c r="GK19">
        <v>-414.27609999999999</v>
      </c>
      <c r="GL19">
        <v>-411.9873</v>
      </c>
      <c r="GM19">
        <v>-421.14260000000002</v>
      </c>
      <c r="GN19">
        <v>-419.9982</v>
      </c>
      <c r="GO19">
        <v>-422.05810000000002</v>
      </c>
      <c r="GP19">
        <v>-422.51589999999999</v>
      </c>
      <c r="GQ19">
        <v>-419.9982</v>
      </c>
      <c r="GR19">
        <v>-416.79379999999998</v>
      </c>
      <c r="GS19">
        <v>-418.62490000000003</v>
      </c>
      <c r="GT19">
        <v>-414.04719999999998</v>
      </c>
      <c r="GU19">
        <v>-399.6277</v>
      </c>
      <c r="GV19">
        <v>-414.96280000000002</v>
      </c>
      <c r="GW19">
        <f>--404.2053</f>
        <v>404.20530000000002</v>
      </c>
      <c r="GX19">
        <f>--403.0609</f>
        <v>403.0609</v>
      </c>
      <c r="GY19">
        <f>--402.3743</f>
        <v>402.37430000000001</v>
      </c>
      <c r="GZ19">
        <f>--401.2299</f>
        <v>401.22989999999999</v>
      </c>
      <c r="HA19">
        <f>--402.832</f>
        <v>402.83199999999999</v>
      </c>
      <c r="HB19">
        <f>--404.892</f>
        <v>404.892</v>
      </c>
      <c r="HC19">
        <f>--401.6876</f>
        <v>401.68759999999997</v>
      </c>
      <c r="HD19">
        <f>--402.6031</f>
        <v>402.60309999999998</v>
      </c>
      <c r="HE19">
        <f>--403.0609</f>
        <v>403.0609</v>
      </c>
      <c r="HF19">
        <f>--401.6876</f>
        <v>401.68759999999997</v>
      </c>
      <c r="HG19">
        <f>--402.1454</f>
        <v>402.1454</v>
      </c>
      <c r="HH19">
        <f>--401.9165</f>
        <v>401.91649999999998</v>
      </c>
      <c r="HI19">
        <f>--401.4587</f>
        <v>401.45870000000002</v>
      </c>
      <c r="HJ19">
        <f>--403.7476</f>
        <v>403.74759999999998</v>
      </c>
      <c r="HK19">
        <f>--378.1128</f>
        <v>378.11279999999999</v>
      </c>
      <c r="HL19">
        <f>--379.0283</f>
        <v>379.0283</v>
      </c>
      <c r="HM19">
        <f>--402.1454</f>
        <v>402.1454</v>
      </c>
      <c r="HN19">
        <f>--402.1454</f>
        <v>402.1454</v>
      </c>
      <c r="HO19">
        <f>--403.9764</f>
        <v>403.97640000000001</v>
      </c>
      <c r="HP19">
        <f>--404.6631</f>
        <v>404.66309999999999</v>
      </c>
      <c r="HQ19">
        <f>--402.1454</f>
        <v>402.1454</v>
      </c>
      <c r="HR19">
        <f>--446.3196</f>
        <v>446.31959999999998</v>
      </c>
      <c r="HS19">
        <f>--487.2894</f>
        <v>487.2894</v>
      </c>
      <c r="HT19">
        <f>--487.2894</f>
        <v>487.2894</v>
      </c>
      <c r="HU19">
        <f>--493.4692</f>
        <v>493.4692</v>
      </c>
      <c r="HV19">
        <f>--399.8566</f>
        <v>399.85660000000001</v>
      </c>
      <c r="HW19">
        <f>--405.3497</f>
        <v>405.34969999999998</v>
      </c>
      <c r="HX19">
        <f>--403.2898</f>
        <v>403.28980000000001</v>
      </c>
      <c r="HY19">
        <f>--401.001</f>
        <v>401.00099999999998</v>
      </c>
      <c r="HZ19">
        <f>--398.2544</f>
        <v>398.25439999999998</v>
      </c>
      <c r="IA19">
        <f>--399.6277</f>
        <v>399.6277</v>
      </c>
      <c r="IB19">
        <f>--398.7122</f>
        <v>398.7122</v>
      </c>
      <c r="IC19">
        <f>--399.1699</f>
        <v>399.16989999999998</v>
      </c>
      <c r="ID19">
        <f>--402.6031</f>
        <v>402.60309999999998</v>
      </c>
      <c r="IE19">
        <f>--404.6631</f>
        <v>404.66309999999999</v>
      </c>
      <c r="IF19">
        <f>--402.6031</f>
        <v>402.60309999999998</v>
      </c>
      <c r="IG19">
        <f>--403.9764</f>
        <v>403.97640000000001</v>
      </c>
      <c r="IH19">
        <f>--402.832</f>
        <v>402.83199999999999</v>
      </c>
      <c r="II19">
        <f>--405.8075</f>
        <v>405.8075</v>
      </c>
      <c r="IJ19">
        <f>--405.5786</f>
        <v>405.57859999999999</v>
      </c>
      <c r="IK19">
        <f>--402.1454</f>
        <v>402.1454</v>
      </c>
      <c r="IL19">
        <f>--362.0911</f>
        <v>362.09109999999998</v>
      </c>
      <c r="IM19">
        <f>--326.3855</f>
        <v>326.38549999999998</v>
      </c>
      <c r="IN19">
        <f>--410.1563</f>
        <v>410.15629999999999</v>
      </c>
      <c r="IO19">
        <f>--491.8671</f>
        <v>491.86709999999999</v>
      </c>
      <c r="IP19">
        <f>--497.1313</f>
        <v>497.13130000000001</v>
      </c>
      <c r="IQ19">
        <f>--406.0364</f>
        <v>406.03640000000001</v>
      </c>
      <c r="IR19">
        <f>--402.3743</f>
        <v>402.37430000000001</v>
      </c>
      <c r="IS19">
        <f>--409.9274</f>
        <v>409.92739999999998</v>
      </c>
      <c r="IT19">
        <f>--410.1563</f>
        <v>410.15629999999999</v>
      </c>
      <c r="IU19">
        <f>--493.2404</f>
        <v>493.24040000000002</v>
      </c>
      <c r="IV19">
        <f>--406.9519</f>
        <v>406.95190000000002</v>
      </c>
      <c r="IW19">
        <f>--404.6631</f>
        <v>404.66309999999999</v>
      </c>
      <c r="IX19">
        <f>--404.6631</f>
        <v>404.66309999999999</v>
      </c>
      <c r="IY19">
        <f>--493.927</f>
        <v>493.92700000000002</v>
      </c>
      <c r="IZ19">
        <f>--495.7581</f>
        <v>495.75810000000001</v>
      </c>
      <c r="JA19">
        <f>--488.6627</f>
        <v>488.66269999999997</v>
      </c>
      <c r="JB19">
        <f>--494.3848</f>
        <v>494.38479999999998</v>
      </c>
      <c r="JC19">
        <f>--408.5541</f>
        <v>408.55410000000001</v>
      </c>
      <c r="JD19">
        <f>--393.4479</f>
        <v>393.4479</v>
      </c>
      <c r="JE19">
        <f>--397.11</f>
        <v>397.11</v>
      </c>
      <c r="JF19">
        <f>--395.5078</f>
        <v>395.50779999999997</v>
      </c>
      <c r="JG19">
        <f>--395.7367</f>
        <v>395.73669999999998</v>
      </c>
      <c r="JH19">
        <f>--400.0854</f>
        <v>400.08539999999999</v>
      </c>
      <c r="JI19">
        <f>--395.9656</f>
        <v>395.96559999999999</v>
      </c>
      <c r="JJ19">
        <f>--401.6876</f>
        <v>401.68759999999997</v>
      </c>
      <c r="JK19">
        <f>--402.3743</f>
        <v>402.37430000000001</v>
      </c>
      <c r="JL19">
        <f>--397.11</f>
        <v>397.11</v>
      </c>
      <c r="JM19">
        <f>--402.832</f>
        <v>402.83199999999999</v>
      </c>
      <c r="JN19">
        <f>--404.6631</f>
        <v>404.66309999999999</v>
      </c>
      <c r="JO19">
        <f>--401.9165</f>
        <v>401.91649999999998</v>
      </c>
      <c r="JP19">
        <f>--400.7721</f>
        <v>400.77210000000002</v>
      </c>
      <c r="JQ19">
        <f>--402.6031</f>
        <v>402.60309999999998</v>
      </c>
      <c r="JR19">
        <f>--404.4342</f>
        <v>404.43419999999998</v>
      </c>
      <c r="JS19">
        <f>--403.5187</f>
        <v>403.51870000000002</v>
      </c>
      <c r="JT19">
        <f>--403.9764</f>
        <v>403.97640000000001</v>
      </c>
      <c r="JU19">
        <f>--401.9165</f>
        <v>401.91649999999998</v>
      </c>
      <c r="JV19">
        <f>--403.9764</f>
        <v>403.97640000000001</v>
      </c>
      <c r="JW19">
        <f>--400.5432</f>
        <v>400.54320000000001</v>
      </c>
      <c r="JX19">
        <f>--401.4587</f>
        <v>401.45870000000002</v>
      </c>
      <c r="JY19">
        <f>--453.4149</f>
        <v>453.41489999999999</v>
      </c>
      <c r="JZ19">
        <f>--401.4587</f>
        <v>401.45870000000002</v>
      </c>
      <c r="KA19">
        <f>--421.8292</f>
        <v>421.82920000000001</v>
      </c>
      <c r="KB19">
        <f>--402.832</f>
        <v>402.83199999999999</v>
      </c>
      <c r="KC19">
        <f>--401.4587</f>
        <v>401.45870000000002</v>
      </c>
      <c r="KD19">
        <f>--402.832</f>
        <v>402.83199999999999</v>
      </c>
      <c r="KE19">
        <f>--379.4861</f>
        <v>379.48610000000002</v>
      </c>
      <c r="KF19">
        <f>--401.2299</f>
        <v>401.22989999999999</v>
      </c>
      <c r="KG19">
        <f>--379.4861</f>
        <v>379.48610000000002</v>
      </c>
      <c r="KH19">
        <f>--380.1727</f>
        <v>380.17270000000002</v>
      </c>
      <c r="KI19">
        <f>--380.1727</f>
        <v>380.17270000000002</v>
      </c>
      <c r="KJ19">
        <f>--403.0609</f>
        <v>403.0609</v>
      </c>
      <c r="KK19">
        <f>--403.7476</f>
        <v>403.74759999999998</v>
      </c>
      <c r="KL19">
        <f>--401.2299</f>
        <v>401.22989999999999</v>
      </c>
      <c r="KM19">
        <f>--399.8566</f>
        <v>399.85660000000001</v>
      </c>
      <c r="KN19">
        <f>--402.832</f>
        <v>402.83199999999999</v>
      </c>
      <c r="KO19">
        <f>--400.5432</f>
        <v>400.54320000000001</v>
      </c>
      <c r="KP19">
        <f>--400.3143</f>
        <v>400.3143</v>
      </c>
      <c r="KQ19">
        <f>--412.9028</f>
        <v>412.90280000000001</v>
      </c>
      <c r="KR19">
        <f>--401.4587</f>
        <v>401.45870000000002</v>
      </c>
      <c r="KS19">
        <f>--402.1454</f>
        <v>402.1454</v>
      </c>
      <c r="KT19">
        <f>--404.6631</f>
        <v>404.66309999999999</v>
      </c>
      <c r="KU19">
        <f>--403.5187</f>
        <v>403.51870000000002</v>
      </c>
      <c r="KV19">
        <f>--401.9165</f>
        <v>401.91649999999998</v>
      </c>
      <c r="KW19">
        <f>--401.001</f>
        <v>401.00099999999998</v>
      </c>
      <c r="KX19">
        <f>--401.001</f>
        <v>401.00099999999998</v>
      </c>
      <c r="KY19">
        <f>--401.9165</f>
        <v>401.91649999999998</v>
      </c>
      <c r="KZ19">
        <f>--400.5432</f>
        <v>400.54320000000001</v>
      </c>
      <c r="LA19">
        <f>--402.1454</f>
        <v>402.1454</v>
      </c>
      <c r="LB19">
        <f>--403.7476</f>
        <v>403.74759999999998</v>
      </c>
      <c r="LC19">
        <f>--401.4587</f>
        <v>401.45870000000002</v>
      </c>
      <c r="LD19">
        <f>--401.6876</f>
        <v>401.68759999999997</v>
      </c>
      <c r="LE19">
        <f>--378.7994</f>
        <v>378.79939999999999</v>
      </c>
      <c r="LF19">
        <f>--377.8839</f>
        <v>377.88389999999998</v>
      </c>
      <c r="LG19">
        <f>--401.2299</f>
        <v>401.22989999999999</v>
      </c>
      <c r="LH19">
        <f>--401.9165</f>
        <v>401.91649999999998</v>
      </c>
      <c r="LI19">
        <f>--400.5432</f>
        <v>400.54320000000001</v>
      </c>
      <c r="LJ19">
        <f>--400.5432</f>
        <v>400.54320000000001</v>
      </c>
      <c r="LK19">
        <f>--402.3743</f>
        <v>402.37430000000001</v>
      </c>
      <c r="LL19">
        <f>--401.001</f>
        <v>401.00099999999998</v>
      </c>
      <c r="LM19">
        <f>--418.396</f>
        <v>418.39600000000002</v>
      </c>
      <c r="LN19">
        <f>--402.832</f>
        <v>402.83199999999999</v>
      </c>
      <c r="LO19">
        <f>--480.423</f>
        <v>480.423</v>
      </c>
      <c r="LP19">
        <f>--483.6273</f>
        <v>483.62729999999999</v>
      </c>
      <c r="LQ19">
        <f>--488.4338</f>
        <v>488.43380000000002</v>
      </c>
      <c r="LR19">
        <f>--401.6876</f>
        <v>401.68759999999997</v>
      </c>
      <c r="LS19">
        <f>--398.4833</f>
        <v>398.48329999999999</v>
      </c>
      <c r="LT19">
        <f>--400.0854</f>
        <v>400.08539999999999</v>
      </c>
      <c r="LU19">
        <f>--401.4587</f>
        <v>401.45870000000002</v>
      </c>
      <c r="LV19">
        <f>--399.8566</f>
        <v>399.85660000000001</v>
      </c>
      <c r="LW19">
        <f>--401.001</f>
        <v>401.00099999999998</v>
      </c>
      <c r="LX19">
        <f>--399.6277</f>
        <v>399.6277</v>
      </c>
      <c r="LY19">
        <f>--399.8566</f>
        <v>399.85660000000001</v>
      </c>
      <c r="LZ19">
        <f>--400.7721</f>
        <v>400.77210000000002</v>
      </c>
      <c r="MA19">
        <f>--404.892</f>
        <v>404.892</v>
      </c>
      <c r="MB19">
        <f>--399.6277</f>
        <v>399.6277</v>
      </c>
      <c r="MC19">
        <f>--404.4342</f>
        <v>404.43419999999998</v>
      </c>
      <c r="MD19">
        <f>--403.5187</f>
        <v>403.51870000000002</v>
      </c>
      <c r="ME19">
        <f>--403.9764</f>
        <v>403.97640000000001</v>
      </c>
      <c r="MF19">
        <f>--405.1208</f>
        <v>405.12079999999997</v>
      </c>
      <c r="MG19">
        <f>--418.6249</f>
        <v>418.62490000000003</v>
      </c>
      <c r="MH19">
        <f>--409.4696</f>
        <v>409.46960000000001</v>
      </c>
      <c r="MI19">
        <f>--404.4342</f>
        <v>404.43419999999998</v>
      </c>
      <c r="MJ19">
        <f>--405.1208</f>
        <v>405.12079999999997</v>
      </c>
      <c r="MK19">
        <f>--406.723</f>
        <v>406.72300000000001</v>
      </c>
      <c r="ML19">
        <f>--356.8268</f>
        <v>356.82679999999999</v>
      </c>
      <c r="MM19">
        <f>--320.8923</f>
        <v>320.89229999999998</v>
      </c>
      <c r="MN19">
        <f>--486.3739</f>
        <v>486.37389999999999</v>
      </c>
      <c r="MO19">
        <f>--494.6136</f>
        <v>494.61360000000002</v>
      </c>
      <c r="MP19">
        <f>--411.3007</f>
        <v>411.30070000000001</v>
      </c>
      <c r="MQ19">
        <f>--487.7472</f>
        <v>487.74720000000002</v>
      </c>
      <c r="MR19">
        <f>--493.6981</f>
        <v>493.69810000000001</v>
      </c>
      <c r="MS19">
        <f>--492.7826</f>
        <v>492.7826</v>
      </c>
      <c r="MT19">
        <f>--411.3007</f>
        <v>411.30070000000001</v>
      </c>
      <c r="MU19">
        <f>--407.1808</f>
        <v>407.18079999999998</v>
      </c>
      <c r="MV19">
        <f>--398.941</f>
        <v>398.94099999999997</v>
      </c>
      <c r="MW19">
        <f>--418.8538</f>
        <v>418.85379999999998</v>
      </c>
      <c r="MX19">
        <f>--498.5046</f>
        <v>498.50459999999998</v>
      </c>
      <c r="MY19">
        <f>--495.7581</f>
        <v>495.75810000000001</v>
      </c>
      <c r="MZ19">
        <f>--488.205</f>
        <v>488.20499999999998</v>
      </c>
      <c r="NA19">
        <f>--473.7854</f>
        <v>473.78539999999998</v>
      </c>
      <c r="NB19">
        <f>--393.9056</f>
        <v>393.90559999999999</v>
      </c>
      <c r="NC19">
        <f>--396.6522</f>
        <v>396.65219999999999</v>
      </c>
      <c r="ND19">
        <f>--397.11</f>
        <v>397.11</v>
      </c>
      <c r="NE19">
        <f>--395.5078</f>
        <v>395.50779999999997</v>
      </c>
      <c r="NF19">
        <f>--396.4233</f>
        <v>396.42329999999998</v>
      </c>
      <c r="NG19">
        <f>--396.8811</f>
        <v>396.8811</v>
      </c>
      <c r="NH19">
        <f>--403.7476</f>
        <v>403.74759999999998</v>
      </c>
      <c r="NI19">
        <f>--396.6522</f>
        <v>396.65219999999999</v>
      </c>
      <c r="NJ19">
        <f>--401.4587</f>
        <v>401.45870000000002</v>
      </c>
      <c r="NK19">
        <f>--399.1699</f>
        <v>399.16989999999998</v>
      </c>
      <c r="NL19">
        <f>--398.941</f>
        <v>398.94099999999997</v>
      </c>
      <c r="NM19">
        <f>--402.6031</f>
        <v>402.60309999999998</v>
      </c>
      <c r="NN19">
        <f>--397.3389</f>
        <v>397.33890000000002</v>
      </c>
      <c r="NO19">
        <f>--402.6031</f>
        <v>402.60309999999998</v>
      </c>
      <c r="NP19">
        <f>--402.6031</f>
        <v>402.60309999999998</v>
      </c>
      <c r="NQ19">
        <f>--406.2653</f>
        <v>406.26530000000002</v>
      </c>
      <c r="NR19">
        <f>--402.6031</f>
        <v>402.60309999999998</v>
      </c>
      <c r="NS19">
        <f>--403.7476</f>
        <v>403.74759999999998</v>
      </c>
      <c r="NT19">
        <f>--403.7476</f>
        <v>403.74759999999998</v>
      </c>
      <c r="NU19">
        <f>--400.5432</f>
        <v>400.54320000000001</v>
      </c>
      <c r="NV19">
        <f>--402.832</f>
        <v>402.83199999999999</v>
      </c>
      <c r="NW19">
        <f>--413.1317</f>
        <v>413.13170000000002</v>
      </c>
      <c r="NX19">
        <f>--401.6876</f>
        <v>401.68759999999997</v>
      </c>
      <c r="NY19">
        <f>--403.5187</f>
        <v>403.51870000000002</v>
      </c>
      <c r="NZ19">
        <f>--402.832</f>
        <v>402.83199999999999</v>
      </c>
      <c r="OA19">
        <f>--401.4587</f>
        <v>401.45870000000002</v>
      </c>
      <c r="OB19">
        <f>--379.0283</f>
        <v>379.0283</v>
      </c>
      <c r="OC19">
        <f>--403.7476</f>
        <v>403.74759999999998</v>
      </c>
      <c r="OD19">
        <f>--379.0283</f>
        <v>379.0283</v>
      </c>
      <c r="OE19">
        <f>--379.0283</f>
        <v>379.0283</v>
      </c>
      <c r="OF19">
        <f>--377.655</f>
        <v>377.65499999999997</v>
      </c>
      <c r="OG19">
        <f>--401.9165</f>
        <v>401.91649999999998</v>
      </c>
      <c r="OH19">
        <f>--403.0609</f>
        <v>403.0609</v>
      </c>
      <c r="OI19">
        <f>--402.6031</f>
        <v>402.60309999999998</v>
      </c>
      <c r="OJ19">
        <f>--402.1454</f>
        <v>402.1454</v>
      </c>
      <c r="OK19">
        <f>--400.7721</f>
        <v>400.77210000000002</v>
      </c>
      <c r="OL19">
        <f>--401.6876</f>
        <v>401.68759999999997</v>
      </c>
      <c r="OM19">
        <f>--401.001</f>
        <v>401.00099999999998</v>
      </c>
      <c r="ON19">
        <f>--400.3143</f>
        <v>400.3143</v>
      </c>
      <c r="OO19">
        <f>--412.674</f>
        <v>412.67399999999998</v>
      </c>
      <c r="OP19">
        <f>--406.0364</f>
        <v>406.03640000000001</v>
      </c>
      <c r="OQ19">
        <v>-1</v>
      </c>
      <c r="OR19">
        <v>-1</v>
      </c>
      <c r="OS19">
        <v>-1</v>
      </c>
      <c r="OT19">
        <v>-1</v>
      </c>
      <c r="OU19">
        <v>-1</v>
      </c>
      <c r="OV19">
        <v>-1</v>
      </c>
      <c r="OW19">
        <v>-1</v>
      </c>
      <c r="OX19">
        <v>-1</v>
      </c>
      <c r="OY19">
        <v>-1</v>
      </c>
      <c r="OZ19">
        <v>-1</v>
      </c>
      <c r="PA19">
        <v>-1</v>
      </c>
      <c r="PB19">
        <v>-1</v>
      </c>
      <c r="PC19">
        <v>-1</v>
      </c>
      <c r="PD19">
        <v>-1</v>
      </c>
      <c r="PE19">
        <v>-1</v>
      </c>
      <c r="PF19">
        <v>-1</v>
      </c>
      <c r="PG19">
        <v>-1</v>
      </c>
      <c r="PH19">
        <v>-1</v>
      </c>
      <c r="PI19">
        <v>-1</v>
      </c>
      <c r="PJ19">
        <v>-1</v>
      </c>
      <c r="PK19">
        <v>-1</v>
      </c>
      <c r="PL19">
        <v>-1</v>
      </c>
      <c r="PM19">
        <v>-1</v>
      </c>
      <c r="PN19">
        <v>-1</v>
      </c>
      <c r="PO19">
        <v>-1</v>
      </c>
      <c r="PP19">
        <v>-1</v>
      </c>
      <c r="PQ19">
        <v>-1</v>
      </c>
      <c r="PR19">
        <v>-1</v>
      </c>
      <c r="PS19">
        <v>-1</v>
      </c>
      <c r="PT19">
        <v>-1</v>
      </c>
      <c r="PU19">
        <v>-1</v>
      </c>
      <c r="PV19">
        <v>-1</v>
      </c>
      <c r="PW19">
        <v>-1</v>
      </c>
      <c r="PX19">
        <v>-1</v>
      </c>
      <c r="PY19">
        <v>-1</v>
      </c>
      <c r="PZ19">
        <v>-1</v>
      </c>
      <c r="QA19">
        <v>-1</v>
      </c>
      <c r="QB19">
        <v>-1</v>
      </c>
      <c r="QC19">
        <v>-1</v>
      </c>
      <c r="QD19">
        <v>-1</v>
      </c>
      <c r="QE19">
        <v>-1</v>
      </c>
      <c r="QF19">
        <v>-1</v>
      </c>
      <c r="QG19">
        <v>-1</v>
      </c>
      <c r="QH19">
        <v>-1</v>
      </c>
      <c r="QI19">
        <v>-1</v>
      </c>
      <c r="QJ19">
        <v>-1</v>
      </c>
      <c r="QK19">
        <v>-1</v>
      </c>
      <c r="QL19">
        <v>-1</v>
      </c>
    </row>
    <row r="20" spans="1:454" x14ac:dyDescent="0.25">
      <c r="A20" t="s">
        <v>2435</v>
      </c>
      <c r="B20" t="s">
        <v>869</v>
      </c>
      <c r="C20" t="s">
        <v>1229</v>
      </c>
      <c r="D20" t="s">
        <v>1656</v>
      </c>
      <c r="E20" t="s">
        <v>1015</v>
      </c>
      <c r="F20" t="s">
        <v>2436</v>
      </c>
      <c r="G20" t="s">
        <v>1932</v>
      </c>
      <c r="I20" t="s">
        <v>1366</v>
      </c>
      <c r="J20" t="s">
        <v>1659</v>
      </c>
      <c r="L20" t="s">
        <v>1659</v>
      </c>
      <c r="M20" t="s">
        <v>1776</v>
      </c>
      <c r="N20" t="s">
        <v>1401</v>
      </c>
      <c r="O20" t="s">
        <v>1269</v>
      </c>
      <c r="P20" t="s">
        <v>1230</v>
      </c>
      <c r="Q20" t="s">
        <v>1089</v>
      </c>
      <c r="R20" t="s">
        <v>1191</v>
      </c>
      <c r="S20" t="s">
        <v>1409</v>
      </c>
      <c r="U20" t="s">
        <v>1010</v>
      </c>
      <c r="V20" t="s">
        <v>872</v>
      </c>
      <c r="W20" t="s">
        <v>956</v>
      </c>
      <c r="X20" t="s">
        <v>2437</v>
      </c>
      <c r="Y20" t="s">
        <v>2438</v>
      </c>
      <c r="AA20" t="s">
        <v>2439</v>
      </c>
      <c r="AC20" t="s">
        <v>1348</v>
      </c>
      <c r="AD20" t="s">
        <v>1804</v>
      </c>
      <c r="AE20" t="s">
        <v>1522</v>
      </c>
      <c r="AF20" t="s">
        <v>1226</v>
      </c>
      <c r="AG20" t="s">
        <v>925</v>
      </c>
      <c r="AH20" t="s">
        <v>988</v>
      </c>
      <c r="AI20" t="s">
        <v>1123</v>
      </c>
      <c r="AJ20" t="s">
        <v>1214</v>
      </c>
      <c r="AK20" t="s">
        <v>1564</v>
      </c>
      <c r="AL20" t="s">
        <v>1454</v>
      </c>
      <c r="AM20" t="s">
        <v>1146</v>
      </c>
      <c r="AN20" t="s">
        <v>949</v>
      </c>
      <c r="AO20" t="s">
        <v>1244</v>
      </c>
      <c r="AP20" t="s">
        <v>1224</v>
      </c>
      <c r="AQ20" t="s">
        <v>2440</v>
      </c>
      <c r="AR20" t="s">
        <v>2441</v>
      </c>
      <c r="AS20" t="s">
        <v>2442</v>
      </c>
      <c r="AU20" t="s">
        <v>2443</v>
      </c>
      <c r="AV20" t="s">
        <v>2444</v>
      </c>
      <c r="AW20" t="s">
        <v>1658</v>
      </c>
      <c r="AX20" t="s">
        <v>925</v>
      </c>
      <c r="AY20" t="s">
        <v>994</v>
      </c>
      <c r="AZ20" t="s">
        <v>2445</v>
      </c>
      <c r="BA20" t="s">
        <v>2446</v>
      </c>
      <c r="BB20" t="s">
        <v>1137</v>
      </c>
      <c r="BC20" t="s">
        <v>2447</v>
      </c>
      <c r="BE20" t="s">
        <v>915</v>
      </c>
      <c r="BF20" t="s">
        <v>2448</v>
      </c>
      <c r="BG20" t="s">
        <v>2449</v>
      </c>
      <c r="BH20" t="s">
        <v>2338</v>
      </c>
      <c r="BI20" t="s">
        <v>2450</v>
      </c>
      <c r="BK20" t="s">
        <v>874</v>
      </c>
      <c r="BL20" t="s">
        <v>1600</v>
      </c>
      <c r="BM20" t="s">
        <v>957</v>
      </c>
      <c r="BN20" t="s">
        <v>877</v>
      </c>
      <c r="BP20" t="s">
        <v>944</v>
      </c>
      <c r="BQ20" t="s">
        <v>1092</v>
      </c>
      <c r="BR20" t="s">
        <v>1087</v>
      </c>
      <c r="BS20" t="s">
        <v>932</v>
      </c>
      <c r="BT20" t="s">
        <v>2193</v>
      </c>
      <c r="BV20" t="s">
        <v>1347</v>
      </c>
      <c r="BX20" t="s">
        <v>876</v>
      </c>
      <c r="BY20" t="s">
        <v>2451</v>
      </c>
      <c r="CA20" t="s">
        <v>1088</v>
      </c>
      <c r="CB20" t="s">
        <v>1570</v>
      </c>
      <c r="CC20" t="s">
        <v>1661</v>
      </c>
      <c r="CD20" t="s">
        <v>1644</v>
      </c>
      <c r="CE20" t="s">
        <v>2452</v>
      </c>
      <c r="CF20" t="s">
        <v>1017</v>
      </c>
      <c r="CG20" t="s">
        <v>2453</v>
      </c>
      <c r="CH20" t="s">
        <v>881</v>
      </c>
      <c r="CI20" t="s">
        <v>1027</v>
      </c>
      <c r="CJ20" t="s">
        <v>2454</v>
      </c>
      <c r="CK20" t="s">
        <v>2455</v>
      </c>
      <c r="CL20" t="s">
        <v>1440</v>
      </c>
      <c r="CM20" t="s">
        <v>1073</v>
      </c>
      <c r="CN20" t="s">
        <v>2447</v>
      </c>
      <c r="CO20" t="s">
        <v>2456</v>
      </c>
      <c r="CP20" t="s">
        <v>2457</v>
      </c>
      <c r="CQ20" t="s">
        <v>1011</v>
      </c>
      <c r="CS20" t="s">
        <v>1405</v>
      </c>
      <c r="CT20" t="s">
        <v>1071</v>
      </c>
      <c r="CU20" t="s">
        <v>2458</v>
      </c>
      <c r="CW20" t="s">
        <v>2459</v>
      </c>
      <c r="CX20" t="s">
        <v>1156</v>
      </c>
      <c r="CY20" t="s">
        <v>876</v>
      </c>
      <c r="CZ20" t="s">
        <v>1181</v>
      </c>
      <c r="DA20" t="s">
        <v>1191</v>
      </c>
      <c r="DB20" t="s">
        <v>1283</v>
      </c>
      <c r="DC20" t="s">
        <v>1092</v>
      </c>
      <c r="DD20" t="s">
        <v>1358</v>
      </c>
      <c r="DE20" t="s">
        <v>875</v>
      </c>
      <c r="DF20" t="s">
        <v>1638</v>
      </c>
      <c r="DG20" t="s">
        <v>1244</v>
      </c>
      <c r="DH20" t="s">
        <v>1194</v>
      </c>
      <c r="DI20" t="s">
        <v>944</v>
      </c>
      <c r="DJ20" t="s">
        <v>1313</v>
      </c>
      <c r="DK20" t="s">
        <v>1601</v>
      </c>
      <c r="DL20" t="s">
        <v>1517</v>
      </c>
      <c r="DN20" t="s">
        <v>1664</v>
      </c>
      <c r="DO20" t="s">
        <v>945</v>
      </c>
      <c r="DP20" t="s">
        <v>932</v>
      </c>
      <c r="DQ20" t="s">
        <v>2460</v>
      </c>
      <c r="DR20" t="s">
        <v>1630</v>
      </c>
      <c r="DS20" t="s">
        <v>1557</v>
      </c>
      <c r="DT20" t="s">
        <v>1032</v>
      </c>
      <c r="DU20" t="s">
        <v>2461</v>
      </c>
      <c r="DV20" t="s">
        <v>2462</v>
      </c>
      <c r="DW20" t="s">
        <v>2463</v>
      </c>
      <c r="DX20" t="s">
        <v>2464</v>
      </c>
      <c r="DY20" t="s">
        <v>1437</v>
      </c>
      <c r="DZ20" t="s">
        <v>1429</v>
      </c>
      <c r="EB20" t="s">
        <v>1219</v>
      </c>
      <c r="EC20" t="s">
        <v>1644</v>
      </c>
      <c r="ED20" t="s">
        <v>985</v>
      </c>
      <c r="EE20" t="s">
        <v>999</v>
      </c>
      <c r="EF20" t="s">
        <v>1123</v>
      </c>
      <c r="EG20" t="s">
        <v>1223</v>
      </c>
      <c r="EH20" t="s">
        <v>1402</v>
      </c>
      <c r="EJ20" t="s">
        <v>1123</v>
      </c>
      <c r="EL20" t="s">
        <v>1010</v>
      </c>
      <c r="EM20" t="s">
        <v>2465</v>
      </c>
      <c r="EN20" t="s">
        <v>2466</v>
      </c>
      <c r="EO20" t="s">
        <v>2418</v>
      </c>
      <c r="EP20" t="s">
        <v>1402</v>
      </c>
      <c r="EQ20" t="s">
        <v>2467</v>
      </c>
      <c r="ER20" t="s">
        <v>2468</v>
      </c>
      <c r="ES20" t="s">
        <v>2469</v>
      </c>
      <c r="ET20" t="s">
        <v>2470</v>
      </c>
      <c r="EU20" t="s">
        <v>1309</v>
      </c>
      <c r="EV20" t="s">
        <v>900</v>
      </c>
      <c r="EW20" t="s">
        <v>2471</v>
      </c>
      <c r="EX20" t="s">
        <v>2234</v>
      </c>
      <c r="EY20" t="s">
        <v>2472</v>
      </c>
      <c r="FA20" t="s">
        <v>1111</v>
      </c>
      <c r="FB20" t="s">
        <v>902</v>
      </c>
      <c r="FC20" t="s">
        <v>997</v>
      </c>
      <c r="FD20" t="s">
        <v>2473</v>
      </c>
      <c r="FE20" t="s">
        <v>2474</v>
      </c>
      <c r="FF20" t="s">
        <v>1677</v>
      </c>
      <c r="FG20" t="s">
        <v>2475</v>
      </c>
      <c r="FH20" t="s">
        <v>1087</v>
      </c>
      <c r="FI20" t="s">
        <v>1575</v>
      </c>
      <c r="FJ20" t="s">
        <v>940</v>
      </c>
      <c r="FK20" t="s">
        <v>1092</v>
      </c>
      <c r="FL20" t="s">
        <v>1651</v>
      </c>
      <c r="FM20" t="s">
        <v>1242</v>
      </c>
      <c r="FO20" t="s">
        <v>1651</v>
      </c>
      <c r="FP20" t="s">
        <v>1274</v>
      </c>
      <c r="FQ20" t="s">
        <v>1213</v>
      </c>
      <c r="FR20" t="s">
        <v>1159</v>
      </c>
      <c r="FS20" t="s">
        <v>1893</v>
      </c>
      <c r="FT20" t="s">
        <v>871</v>
      </c>
      <c r="FV20" t="s">
        <v>1089</v>
      </c>
      <c r="FW20" t="s">
        <v>2476</v>
      </c>
      <c r="FX20" t="s">
        <v>2436</v>
      </c>
      <c r="FY20" t="s">
        <v>1316</v>
      </c>
      <c r="GA20" t="s">
        <v>1487</v>
      </c>
      <c r="GB20" t="s">
        <v>1967</v>
      </c>
      <c r="GC20" t="s">
        <v>2477</v>
      </c>
      <c r="GD20" t="s">
        <v>1651</v>
      </c>
      <c r="GE20" t="s">
        <v>883</v>
      </c>
      <c r="GF20" t="s">
        <v>1232</v>
      </c>
      <c r="GG20" t="s">
        <v>2101</v>
      </c>
      <c r="GH20" t="s">
        <v>2478</v>
      </c>
      <c r="GI20" t="s">
        <v>1571</v>
      </c>
      <c r="GJ20" t="s">
        <v>2479</v>
      </c>
      <c r="GK20" t="s">
        <v>920</v>
      </c>
      <c r="GL20" t="s">
        <v>1925</v>
      </c>
      <c r="GN20" t="s">
        <v>1199</v>
      </c>
      <c r="GO20" t="s">
        <v>2480</v>
      </c>
      <c r="GQ20" t="s">
        <v>2481</v>
      </c>
      <c r="GS20" t="s">
        <v>2482</v>
      </c>
      <c r="GT20" t="s">
        <v>1730</v>
      </c>
      <c r="GU20" t="s">
        <v>2483</v>
      </c>
      <c r="GV20" t="s">
        <v>2484</v>
      </c>
      <c r="GW20">
        <f>-398.941--398.2544</f>
        <v>-0.68659999999999854</v>
      </c>
      <c r="GX20">
        <f>-401.4587--400.5432</f>
        <v>-0.91550000000000864</v>
      </c>
      <c r="GY20">
        <f>-398.4833--398.941</f>
        <v>0.45769999999998845</v>
      </c>
      <c r="GZ20">
        <f>-398.4833--398.2544</f>
        <v>-0.2289000000000101</v>
      </c>
      <c r="HA20">
        <f>-400.5432--399.3988</f>
        <v>-1.1444000000000187</v>
      </c>
      <c r="HB20">
        <f>-400.0854--399.8566</f>
        <v>-0.22879999999997835</v>
      </c>
      <c r="HC20">
        <f>-401.001--400.0854</f>
        <v>-0.91559999999998354</v>
      </c>
      <c r="HD20">
        <f>-399.1699--399.6277</f>
        <v>0.45780000000002019</v>
      </c>
      <c r="HE20">
        <f>-400.0854--400.3143</f>
        <v>0.2289000000000101</v>
      </c>
      <c r="HF20">
        <f>-397.5677--397.3389</f>
        <v>-0.22879999999997835</v>
      </c>
      <c r="HG20">
        <f>-398.941--397.5677</f>
        <v>-1.373299999999972</v>
      </c>
      <c r="HH20">
        <f>-401.001--400.7721</f>
        <v>-0.22889999999995325</v>
      </c>
      <c r="HI20">
        <f>-400.0854--401.001</f>
        <v>0.91559999999998354</v>
      </c>
      <c r="HJ20">
        <f>-399.3988--398.7122</f>
        <v>-0.68659999999999854</v>
      </c>
      <c r="HK20">
        <f>-376.5106--376.2817</f>
        <v>-0.2289000000000101</v>
      </c>
      <c r="HL20">
        <f>-376.0529--375.5951</f>
        <v>-0.45780000000002019</v>
      </c>
      <c r="HM20">
        <f>-397.11--397.7966</f>
        <v>0.68659999999999854</v>
      </c>
      <c r="HN20">
        <f>-397.5677--398.2544</f>
        <v>0.68669999999997344</v>
      </c>
      <c r="HP20">
        <f>-397.3389--398.7122</f>
        <v>1.373299999999972</v>
      </c>
      <c r="HQ20">
        <f>-398.2544--398.0255</f>
        <v>-0.22889999999995325</v>
      </c>
      <c r="HR20">
        <f>-444.7174--444.0308</f>
        <v>-0.68659999999999854</v>
      </c>
      <c r="HS20">
        <f>-486.8317--485.6873</f>
        <v>-1.1444000000000187</v>
      </c>
      <c r="HV20">
        <f>-403.7476--402.6031</f>
        <v>-1.1444999999999936</v>
      </c>
      <c r="HW20">
        <f>-400.0854--399.8566</f>
        <v>-0.22879999999997835</v>
      </c>
      <c r="HX20">
        <f>-401.001--399.8566</f>
        <v>-1.1443999999999619</v>
      </c>
      <c r="HZ20">
        <f>-396.8811--396.4233</f>
        <v>-0.45780000000002019</v>
      </c>
      <c r="IB20">
        <f>-394.8212--394.3634</f>
        <v>-0.45779999999996335</v>
      </c>
      <c r="IC20">
        <f>-395.05--394.3634</f>
        <v>-0.68659999999999854</v>
      </c>
      <c r="ID20">
        <f>-399.3988--398.2544</f>
        <v>-1.1444000000000187</v>
      </c>
      <c r="IE20">
        <f>-400.3143--399.8566</f>
        <v>-0.45769999999998845</v>
      </c>
      <c r="IF20">
        <f>-398.4833--397.7966</f>
        <v>-0.68669999999997344</v>
      </c>
      <c r="IG20">
        <f>-399.8566--399.6277</f>
        <v>-0.2289000000000101</v>
      </c>
      <c r="IH20">
        <f>-400.0854--399.6277</f>
        <v>-0.45769999999998845</v>
      </c>
      <c r="II20">
        <f>-401.9165--401.6876</f>
        <v>-0.2289000000000101</v>
      </c>
      <c r="IJ20">
        <f>-399.3988--398.941</f>
        <v>-0.45780000000002019</v>
      </c>
      <c r="IK20">
        <f>-401.001--400.7721</f>
        <v>-0.22889999999995325</v>
      </c>
      <c r="IL20">
        <f>-360.9467--360.7178</f>
        <v>-0.2289000000000101</v>
      </c>
      <c r="IM20">
        <f>-324.5544--325.47</f>
        <v>0.91560000000004038</v>
      </c>
      <c r="IN20">
        <f>-406.723--407.8674</f>
        <v>1.1443999999999619</v>
      </c>
      <c r="IP20">
        <f>-494.1559--494.3848</f>
        <v>0.2289000000000101</v>
      </c>
      <c r="IR20">
        <f>-406.0364--405.1208</f>
        <v>-0.91560000000004038</v>
      </c>
      <c r="IS20">
        <f>-415.4205--415.6494</f>
        <v>0.2289000000000101</v>
      </c>
      <c r="IT20">
        <f>-405.8075--405.3497</f>
        <v>-0.45780000000002019</v>
      </c>
      <c r="IU20">
        <f>-491.8671--491.6382</f>
        <v>-0.2289000000000101</v>
      </c>
      <c r="IV20">
        <f>-402.1454--401.2299</f>
        <v>-0.91550000000000864</v>
      </c>
      <c r="IW20">
        <f>-398.2544--397.3389</f>
        <v>-0.9154999999999518</v>
      </c>
      <c r="IX20">
        <f>-407.1808--407.4097</f>
        <v>0.2289000000000101</v>
      </c>
      <c r="IY20">
        <f>-491.4093--491.6382</f>
        <v>0.2289000000000101</v>
      </c>
      <c r="IZ20">
        <f>-492.5537--492.0959</f>
        <v>-0.45780000000002019</v>
      </c>
      <c r="JB20">
        <f>-488.4338--487.0605</f>
        <v>-1.3733000000000288</v>
      </c>
      <c r="JC20">
        <f>-401.4587--401.2299</f>
        <v>-0.2288000000000352</v>
      </c>
      <c r="JD20">
        <f>-389.328--388.8702</f>
        <v>-0.45779999999996335</v>
      </c>
      <c r="JE20">
        <f>-393.9056--393.4479</f>
        <v>-0.45769999999998845</v>
      </c>
      <c r="JF20">
        <f>-393.4479--393.219</f>
        <v>-0.2289000000000101</v>
      </c>
      <c r="JG20">
        <f>-392.5323--392.9901</f>
        <v>0.45779999999996335</v>
      </c>
      <c r="JH20">
        <f>-397.3389--396.6522</f>
        <v>-0.68670000000003029</v>
      </c>
      <c r="JI20">
        <f>-393.9056--393.6768</f>
        <v>-0.22879999999997835</v>
      </c>
      <c r="JJ20">
        <f>-399.3988--400.3143</f>
        <v>0.91550000000000864</v>
      </c>
      <c r="JK20">
        <f>-401.6876--401.2299</f>
        <v>-0.45769999999998845</v>
      </c>
      <c r="JL20">
        <f>-395.2789--395.05</f>
        <v>-0.2289000000000101</v>
      </c>
      <c r="JM20">
        <f>-398.7122--399.1699</f>
        <v>0.45769999999998845</v>
      </c>
      <c r="JN20">
        <f>-401.001--401.9165</f>
        <v>0.91550000000000864</v>
      </c>
      <c r="JO20">
        <f>-398.2544--396.8811</f>
        <v>-1.373299999999972</v>
      </c>
      <c r="JP20">
        <f>-399.6277--399.1699</f>
        <v>-0.45780000000002019</v>
      </c>
      <c r="JQ20">
        <f>-397.3389--396.6522</f>
        <v>-0.68670000000003029</v>
      </c>
      <c r="JS20">
        <f>-398.0255--397.3389</f>
        <v>-0.68659999999999854</v>
      </c>
      <c r="JT20">
        <f>-397.7966--397.5677</f>
        <v>-0.2289000000000101</v>
      </c>
      <c r="JU20">
        <f>-397.7966--397.5677</f>
        <v>-0.2289000000000101</v>
      </c>
      <c r="JV20">
        <f>-398.7122--397.7966</f>
        <v>-0.91559999999998354</v>
      </c>
      <c r="JY20">
        <f>-445.8618--446.0907</f>
        <v>0.2289000000000101</v>
      </c>
      <c r="JZ20">
        <f>-397.5677--396.8811</f>
        <v>-0.68659999999999854</v>
      </c>
      <c r="KA20">
        <f>-404.2053--404.4342</f>
        <v>0.22889999999995325</v>
      </c>
      <c r="KB20">
        <f>-396.4233--396.1945</f>
        <v>-0.22879999999997835</v>
      </c>
      <c r="KC20">
        <f>-396.8811--397.11</f>
        <v>0.2289000000000101</v>
      </c>
      <c r="KD20">
        <f>-398.4833--396.6522</f>
        <v>-1.8310999999999922</v>
      </c>
      <c r="KF20">
        <f>-397.3389--396.8811</f>
        <v>-0.45780000000002019</v>
      </c>
      <c r="KG20">
        <f>-373.9929--374.2218</f>
        <v>0.22889999999995325</v>
      </c>
      <c r="KH20">
        <f>-373.9929--373.5352</f>
        <v>-0.45770000000004529</v>
      </c>
      <c r="KJ20">
        <f>-396.4233--397.5677</f>
        <v>1.1444000000000187</v>
      </c>
      <c r="KL20">
        <f>-396.6522--395.7367</f>
        <v>-0.91550000000000864</v>
      </c>
      <c r="KM20">
        <f>-396.6522--396.4233</f>
        <v>-0.2289000000000101</v>
      </c>
      <c r="KN20">
        <f>-395.9656--395.7367</f>
        <v>-0.2289000000000101</v>
      </c>
      <c r="KO20">
        <f>-395.2789--394.5923</f>
        <v>-0.68659999999999854</v>
      </c>
      <c r="KP20">
        <f>-401.2299--400.3143</f>
        <v>-0.91559999999998354</v>
      </c>
      <c r="KR20">
        <f>-398.4833--399.6277</f>
        <v>1.1444000000000187</v>
      </c>
      <c r="KS20">
        <f>-400.0854--398.7122</f>
        <v>-1.3731999999999971</v>
      </c>
      <c r="KT20">
        <f>-402.3743--401.2299</f>
        <v>-1.1444000000000187</v>
      </c>
      <c r="KU20">
        <f>-400.0854--400.3143</f>
        <v>0.2289000000000101</v>
      </c>
      <c r="KV20">
        <f>-400.0854--400.3143</f>
        <v>0.2289000000000101</v>
      </c>
      <c r="KW20">
        <f>-400.0854--398.941</f>
        <v>-1.1444000000000187</v>
      </c>
      <c r="KX20">
        <f>-397.5677--397.11</f>
        <v>-0.45769999999998845</v>
      </c>
      <c r="KY20">
        <f>-398.4833--398.2544</f>
        <v>-0.2289000000000101</v>
      </c>
      <c r="KZ20">
        <f>-399.8566--399.1699</f>
        <v>-0.68670000000003029</v>
      </c>
      <c r="LA20">
        <f>-400.3143--399.6277</f>
        <v>-0.68659999999999854</v>
      </c>
      <c r="LB20">
        <f>-400.7721--401.001</f>
        <v>0.22889999999995325</v>
      </c>
      <c r="LC20">
        <f>-400.3143--398.941</f>
        <v>-1.3733000000000288</v>
      </c>
      <c r="LD20">
        <f>-398.941--398.7122</f>
        <v>-0.22879999999997835</v>
      </c>
      <c r="LE20">
        <f>-376.5106--375.824</f>
        <v>-0.68659999999999854</v>
      </c>
      <c r="LF20">
        <f>-375.5951--374.9084</f>
        <v>-0.68670000000003029</v>
      </c>
      <c r="LG20">
        <f>-400.0854--398.7122</f>
        <v>-1.3731999999999971</v>
      </c>
      <c r="LH20">
        <f>-399.3988--399.1699</f>
        <v>-0.2289000000000101</v>
      </c>
      <c r="LI20">
        <f>-397.5677--398.2544</f>
        <v>0.68669999999997344</v>
      </c>
      <c r="LJ20">
        <f>-395.9656--395.7367</f>
        <v>-0.2289000000000101</v>
      </c>
      <c r="LK20">
        <f>-397.11--397.3389</f>
        <v>0.2289000000000101</v>
      </c>
      <c r="LL20">
        <f>-397.5677--395.9656</f>
        <v>-1.6021000000000072</v>
      </c>
      <c r="LM20">
        <f>-407.4097--407.1808</f>
        <v>-0.2289000000000101</v>
      </c>
      <c r="LN20">
        <f>-398.4833--398.7122</f>
        <v>0.2289000000000101</v>
      </c>
      <c r="LO20">
        <f>-481.3385--481.1096</f>
        <v>-0.2289000000000101</v>
      </c>
      <c r="LQ20">
        <f>-485.9161--486.8317</f>
        <v>0.91560000000004038</v>
      </c>
      <c r="LR20">
        <f>-400.0854--398.941</f>
        <v>-1.1444000000000187</v>
      </c>
      <c r="LS20">
        <f>-399.3988--398.7122</f>
        <v>-0.68659999999999854</v>
      </c>
      <c r="LT20">
        <f>-397.7966--397.3389</f>
        <v>-0.45769999999998845</v>
      </c>
      <c r="LU20">
        <f>-399.1699--397.5677</f>
        <v>-1.6021999999999821</v>
      </c>
      <c r="LV20">
        <f>-395.05--394.1345</f>
        <v>-0.91550000000000864</v>
      </c>
      <c r="LY20">
        <f>-395.5078--394.5923</f>
        <v>-0.9154999999999518</v>
      </c>
      <c r="LZ20">
        <f>-396.6522--395.5078</f>
        <v>-1.1444000000000187</v>
      </c>
      <c r="MB20">
        <f>-395.2789--395.05</f>
        <v>-0.2289000000000101</v>
      </c>
      <c r="MD20">
        <f>-399.8566--398.2544</f>
        <v>-1.6022000000000389</v>
      </c>
      <c r="ME20">
        <f>-399.1699--398.4833</f>
        <v>-0.68659999999999854</v>
      </c>
      <c r="MF20">
        <f>-400.7721--400.3143</f>
        <v>-0.45780000000002019</v>
      </c>
      <c r="MG20">
        <f>-411.0718--410.614</f>
        <v>-0.45780000000002019</v>
      </c>
      <c r="MH20">
        <f>-415.1917--414.7339</f>
        <v>-0.45780000000002019</v>
      </c>
      <c r="MI20">
        <f>-403.5187--402.832</f>
        <v>-0.68670000000003029</v>
      </c>
      <c r="MJ20">
        <f>-403.0609--403.7476</f>
        <v>0.68669999999997344</v>
      </c>
      <c r="MK20">
        <f>-400.0854--400.7721</f>
        <v>0.68670000000003029</v>
      </c>
      <c r="ML20">
        <f>-354.9957--355.4535</f>
        <v>0.45780000000002019</v>
      </c>
      <c r="MO20">
        <f>-491.4093--490.7227</f>
        <v>-0.68659999999999854</v>
      </c>
      <c r="MP20">
        <f>-404.2053--403.5187</f>
        <v>-0.68659999999999854</v>
      </c>
      <c r="MQ20">
        <f>-492.0959--491.8671</f>
        <v>-0.22879999999997835</v>
      </c>
      <c r="MR20">
        <f>-490.9515--491.6382</f>
        <v>0.68669999999997344</v>
      </c>
      <c r="MS20">
        <f>-493.927--493.2404</f>
        <v>-0.68659999999999854</v>
      </c>
      <c r="MT20">
        <f>-403.7476--402.3743</f>
        <v>-1.373299999999972</v>
      </c>
      <c r="MV20">
        <f>-402.1454--401.4587</f>
        <v>-0.68669999999997344</v>
      </c>
      <c r="MW20">
        <f>-401.6876--401.2299</f>
        <v>-0.45769999999998845</v>
      </c>
      <c r="MX20">
        <f>-494.8425--494.1559</f>
        <v>-0.68659999999999854</v>
      </c>
      <c r="MY20">
        <f>-497.1313--496.6736</f>
        <v>-0.45769999999998845</v>
      </c>
      <c r="MZ20">
        <f>-493.2404--492.0959</f>
        <v>-1.1445000000000505</v>
      </c>
      <c r="NA20">
        <f>-468.0634--468.2922</f>
        <v>0.22879999999997835</v>
      </c>
      <c r="NB20">
        <f>-392.7612--391.8457</f>
        <v>-0.9154999999999518</v>
      </c>
      <c r="ND20">
        <f>-395.9656--395.7367</f>
        <v>-0.2289000000000101</v>
      </c>
      <c r="NE20">
        <f>-394.8212--395.2789</f>
        <v>0.45770000000004529</v>
      </c>
      <c r="NG20">
        <f>-395.2789--394.1345</f>
        <v>-1.1444000000000187</v>
      </c>
      <c r="NH20">
        <f>-400.7721--400.3143</f>
        <v>-0.45780000000002019</v>
      </c>
      <c r="NI20">
        <f>-393.4479--392.7612</f>
        <v>-0.68670000000003029</v>
      </c>
      <c r="NJ20">
        <f>-399.1699--398.941</f>
        <v>-0.2289000000000101</v>
      </c>
      <c r="NK20">
        <f>-395.05--394.5923</f>
        <v>-0.45769999999998845</v>
      </c>
      <c r="NL20">
        <f>-393.9056--392.9901</f>
        <v>-0.91550000000000864</v>
      </c>
      <c r="NM20">
        <f>-399.1699--399.6277</f>
        <v>0.45780000000002019</v>
      </c>
      <c r="NN20">
        <f>-394.8212--394.5923</f>
        <v>-0.22889999999995325</v>
      </c>
      <c r="NO20">
        <f>-398.7122--397.7966</f>
        <v>-0.91559999999998354</v>
      </c>
      <c r="NP20">
        <f>-399.8566--399.6277</f>
        <v>-0.2289000000000101</v>
      </c>
      <c r="NQ20">
        <f>-398.941--399.8566</f>
        <v>0.91560000000004038</v>
      </c>
      <c r="NR20">
        <f>-398.4833--398.7122</f>
        <v>0.2289000000000101</v>
      </c>
      <c r="NT20">
        <f>-398.7122--398.2544</f>
        <v>-0.45780000000002019</v>
      </c>
      <c r="NU20">
        <f>-399.1699--400.0854</f>
        <v>0.91550000000000864</v>
      </c>
      <c r="NV20">
        <f>-398.2544--398.4833</f>
        <v>0.2289000000000101</v>
      </c>
      <c r="NW20">
        <f>-415.4205--415.8783</f>
        <v>0.45780000000002019</v>
      </c>
      <c r="NX20">
        <f>-398.7122--398.0255</f>
        <v>-0.68669999999997344</v>
      </c>
      <c r="NZ20">
        <f>-396.6522--396.8811</f>
        <v>0.2289000000000101</v>
      </c>
      <c r="OA20">
        <f>-398.4833--398.7122</f>
        <v>0.2289000000000101</v>
      </c>
      <c r="OB20">
        <f>-372.8485--373.3063</f>
        <v>0.45780000000002019</v>
      </c>
      <c r="OC20">
        <f>-397.3389--396.6522</f>
        <v>-0.68670000000003029</v>
      </c>
      <c r="OE20">
        <f>-373.9929--374.9084</f>
        <v>0.9154999999999518</v>
      </c>
      <c r="OF20">
        <f>-375.3662--375.1373</f>
        <v>-0.2289000000000101</v>
      </c>
      <c r="OG20">
        <f>-394.1345--394.5923</f>
        <v>0.45780000000002019</v>
      </c>
      <c r="OI20">
        <f>-397.7966--397.3389</f>
        <v>-0.45769999999998845</v>
      </c>
      <c r="OJ20">
        <f>-395.7367--396.1945</f>
        <v>0.45780000000002019</v>
      </c>
      <c r="OK20">
        <f>-395.05--395.5078</f>
        <v>0.45779999999996335</v>
      </c>
      <c r="OL20">
        <f>-394.8212--395.7367</f>
        <v>0.91550000000000864</v>
      </c>
      <c r="OM20">
        <f>-395.05--394.1345</f>
        <v>-0.91550000000000864</v>
      </c>
      <c r="ON20">
        <f>-397.11--395.9656</f>
        <v>-1.1444000000000187</v>
      </c>
      <c r="OO20">
        <f>-405.5786--405.1208</f>
        <v>-0.45780000000002019</v>
      </c>
      <c r="OP20">
        <f>-401.001--402.6031</f>
        <v>1.6021000000000072</v>
      </c>
      <c r="QE20">
        <v>-1</v>
      </c>
      <c r="QF20">
        <v>-1</v>
      </c>
      <c r="QG20">
        <v>-1</v>
      </c>
      <c r="QH20">
        <v>-1</v>
      </c>
      <c r="QI20">
        <v>-1</v>
      </c>
      <c r="QJ20">
        <v>-1</v>
      </c>
      <c r="QK20">
        <v>-1</v>
      </c>
      <c r="QL20">
        <v>-1</v>
      </c>
    </row>
    <row r="21" spans="1:454" x14ac:dyDescent="0.25">
      <c r="A21" t="s">
        <v>2485</v>
      </c>
      <c r="B21" t="s">
        <v>869</v>
      </c>
      <c r="C21" t="s">
        <v>2486</v>
      </c>
      <c r="D21" t="s">
        <v>1766</v>
      </c>
      <c r="F21" t="s">
        <v>2487</v>
      </c>
      <c r="G21" t="s">
        <v>1600</v>
      </c>
      <c r="H21" t="s">
        <v>2488</v>
      </c>
      <c r="I21" t="s">
        <v>2489</v>
      </c>
      <c r="J21" t="s">
        <v>2490</v>
      </c>
      <c r="K21" t="s">
        <v>1492</v>
      </c>
      <c r="L21" t="s">
        <v>2491</v>
      </c>
      <c r="M21" t="s">
        <v>2491</v>
      </c>
      <c r="N21" t="s">
        <v>1300</v>
      </c>
      <c r="O21" t="s">
        <v>2492</v>
      </c>
      <c r="P21" t="s">
        <v>2493</v>
      </c>
      <c r="Q21" t="s">
        <v>2494</v>
      </c>
      <c r="S21" t="s">
        <v>1226</v>
      </c>
      <c r="T21" t="s">
        <v>1159</v>
      </c>
      <c r="U21" t="s">
        <v>1224</v>
      </c>
      <c r="V21" t="s">
        <v>1636</v>
      </c>
      <c r="W21" t="s">
        <v>896</v>
      </c>
      <c r="X21" t="s">
        <v>2495</v>
      </c>
      <c r="Y21" t="s">
        <v>2496</v>
      </c>
      <c r="Z21" t="s">
        <v>2497</v>
      </c>
      <c r="AA21" t="s">
        <v>2498</v>
      </c>
      <c r="AB21" t="s">
        <v>1238</v>
      </c>
      <c r="AC21" t="s">
        <v>2012</v>
      </c>
      <c r="AD21" t="s">
        <v>2499</v>
      </c>
      <c r="AE21" t="s">
        <v>2001</v>
      </c>
      <c r="AG21" t="s">
        <v>1097</v>
      </c>
      <c r="AH21" t="s">
        <v>1103</v>
      </c>
      <c r="AI21" t="s">
        <v>1011</v>
      </c>
      <c r="AJ21" t="s">
        <v>1763</v>
      </c>
      <c r="AK21" t="s">
        <v>1047</v>
      </c>
      <c r="AL21" t="s">
        <v>1027</v>
      </c>
      <c r="AM21" t="s">
        <v>1346</v>
      </c>
      <c r="AN21" t="s">
        <v>1325</v>
      </c>
      <c r="AO21" t="s">
        <v>2500</v>
      </c>
      <c r="AP21" t="s">
        <v>2501</v>
      </c>
      <c r="AQ21" t="s">
        <v>2502</v>
      </c>
      <c r="AR21" t="s">
        <v>2503</v>
      </c>
      <c r="AS21" t="s">
        <v>2504</v>
      </c>
      <c r="AT21" t="s">
        <v>1717</v>
      </c>
      <c r="AU21" t="s">
        <v>2505</v>
      </c>
      <c r="AV21" t="s">
        <v>2506</v>
      </c>
      <c r="AW21" t="s">
        <v>1651</v>
      </c>
      <c r="AX21" t="s">
        <v>1496</v>
      </c>
      <c r="AY21" t="s">
        <v>1778</v>
      </c>
      <c r="AZ21" t="s">
        <v>2507</v>
      </c>
      <c r="BA21" t="s">
        <v>2508</v>
      </c>
      <c r="BB21" t="s">
        <v>2059</v>
      </c>
      <c r="BC21" t="s">
        <v>1510</v>
      </c>
      <c r="BD21" t="s">
        <v>1162</v>
      </c>
      <c r="BE21" t="s">
        <v>1394</v>
      </c>
      <c r="BF21" t="s">
        <v>2509</v>
      </c>
      <c r="BG21" t="s">
        <v>2510</v>
      </c>
      <c r="BH21" t="s">
        <v>2511</v>
      </c>
      <c r="BI21" t="s">
        <v>1303</v>
      </c>
      <c r="BJ21" t="s">
        <v>1374</v>
      </c>
      <c r="BK21" t="s">
        <v>2512</v>
      </c>
      <c r="BM21" t="s">
        <v>1835</v>
      </c>
      <c r="BO21" t="s">
        <v>1193</v>
      </c>
      <c r="BP21" t="s">
        <v>2513</v>
      </c>
      <c r="BQ21" t="s">
        <v>1518</v>
      </c>
      <c r="BR21" t="s">
        <v>1101</v>
      </c>
      <c r="BS21" t="s">
        <v>2514</v>
      </c>
      <c r="BU21" t="s">
        <v>1904</v>
      </c>
      <c r="BV21" t="s">
        <v>967</v>
      </c>
      <c r="BW21" t="s">
        <v>1342</v>
      </c>
      <c r="BX21" t="s">
        <v>1911</v>
      </c>
      <c r="BY21" t="s">
        <v>1294</v>
      </c>
      <c r="BZ21" t="s">
        <v>976</v>
      </c>
      <c r="CD21" t="s">
        <v>1932</v>
      </c>
      <c r="CE21" t="s">
        <v>2515</v>
      </c>
      <c r="CF21" t="s">
        <v>1108</v>
      </c>
      <c r="CG21" t="s">
        <v>2516</v>
      </c>
      <c r="CH21" t="s">
        <v>1656</v>
      </c>
      <c r="CI21" t="s">
        <v>1445</v>
      </c>
      <c r="CJ21" t="s">
        <v>1412</v>
      </c>
      <c r="CK21" t="s">
        <v>961</v>
      </c>
      <c r="CL21" t="s">
        <v>940</v>
      </c>
      <c r="CM21" t="s">
        <v>903</v>
      </c>
      <c r="CN21" t="s">
        <v>1214</v>
      </c>
      <c r="CO21" t="s">
        <v>900</v>
      </c>
      <c r="CP21" t="s">
        <v>1656</v>
      </c>
      <c r="CQ21" t="s">
        <v>887</v>
      </c>
      <c r="CR21" t="s">
        <v>1440</v>
      </c>
      <c r="CS21" t="s">
        <v>883</v>
      </c>
      <c r="CT21" t="s">
        <v>1566</v>
      </c>
      <c r="CU21" t="s">
        <v>2517</v>
      </c>
      <c r="CV21" t="s">
        <v>2518</v>
      </c>
      <c r="CW21" t="s">
        <v>2519</v>
      </c>
      <c r="CY21" t="s">
        <v>1022</v>
      </c>
      <c r="CZ21" t="s">
        <v>2520</v>
      </c>
      <c r="DA21" t="s">
        <v>1026</v>
      </c>
      <c r="DB21" t="s">
        <v>1219</v>
      </c>
      <c r="DC21" t="s">
        <v>2521</v>
      </c>
      <c r="DD21" t="s">
        <v>2522</v>
      </c>
      <c r="DE21" t="s">
        <v>2523</v>
      </c>
      <c r="DF21" t="s">
        <v>2524</v>
      </c>
      <c r="DG21" t="s">
        <v>1104</v>
      </c>
      <c r="DH21" t="s">
        <v>2525</v>
      </c>
      <c r="DI21" t="s">
        <v>1213</v>
      </c>
      <c r="DJ21" t="s">
        <v>1337</v>
      </c>
      <c r="DL21" t="s">
        <v>2526</v>
      </c>
      <c r="DM21" t="s">
        <v>1249</v>
      </c>
      <c r="DN21" t="s">
        <v>1283</v>
      </c>
      <c r="DO21" t="s">
        <v>1498</v>
      </c>
      <c r="DP21" t="s">
        <v>940</v>
      </c>
      <c r="DS21" t="s">
        <v>1510</v>
      </c>
      <c r="DT21" t="s">
        <v>2527</v>
      </c>
      <c r="DU21" t="s">
        <v>2528</v>
      </c>
      <c r="DV21" t="s">
        <v>2529</v>
      </c>
      <c r="DW21" t="s">
        <v>2530</v>
      </c>
      <c r="DX21" t="s">
        <v>1157</v>
      </c>
      <c r="DY21" t="s">
        <v>894</v>
      </c>
      <c r="DZ21" t="s">
        <v>1157</v>
      </c>
      <c r="EA21" t="s">
        <v>1215</v>
      </c>
      <c r="EB21" t="s">
        <v>949</v>
      </c>
      <c r="EC21" t="s">
        <v>1102</v>
      </c>
      <c r="ED21" t="s">
        <v>1045</v>
      </c>
      <c r="EE21" t="s">
        <v>1214</v>
      </c>
      <c r="EF21" t="s">
        <v>1716</v>
      </c>
      <c r="EG21" t="s">
        <v>1045</v>
      </c>
      <c r="EH21" t="s">
        <v>1881</v>
      </c>
      <c r="EI21" t="s">
        <v>1403</v>
      </c>
      <c r="EJ21" t="s">
        <v>1557</v>
      </c>
      <c r="EK21" t="s">
        <v>2093</v>
      </c>
      <c r="EL21" t="s">
        <v>2531</v>
      </c>
      <c r="EM21" t="s">
        <v>2532</v>
      </c>
      <c r="EN21" t="s">
        <v>2533</v>
      </c>
      <c r="EO21" t="s">
        <v>2534</v>
      </c>
      <c r="EP21" t="s">
        <v>2535</v>
      </c>
      <c r="EQ21" t="s">
        <v>2536</v>
      </c>
      <c r="ER21" t="s">
        <v>2537</v>
      </c>
      <c r="ES21" t="s">
        <v>2538</v>
      </c>
      <c r="ET21" t="s">
        <v>1924</v>
      </c>
      <c r="EU21" t="s">
        <v>2539</v>
      </c>
      <c r="EV21" t="s">
        <v>1024</v>
      </c>
      <c r="EW21" t="s">
        <v>2540</v>
      </c>
      <c r="EX21" t="s">
        <v>1258</v>
      </c>
      <c r="EY21" t="s">
        <v>2541</v>
      </c>
      <c r="EZ21" t="s">
        <v>1518</v>
      </c>
      <c r="FA21" t="s">
        <v>2542</v>
      </c>
      <c r="FB21" t="s">
        <v>1014</v>
      </c>
      <c r="FC21" t="s">
        <v>2543</v>
      </c>
      <c r="FD21" t="s">
        <v>2009</v>
      </c>
      <c r="FE21" t="s">
        <v>2544</v>
      </c>
      <c r="FF21" t="s">
        <v>2545</v>
      </c>
      <c r="FG21" t="s">
        <v>2546</v>
      </c>
      <c r="FH21" t="s">
        <v>1090</v>
      </c>
      <c r="FI21" t="s">
        <v>1980</v>
      </c>
      <c r="FJ21" t="s">
        <v>2547</v>
      </c>
      <c r="FK21" t="s">
        <v>1620</v>
      </c>
      <c r="FL21" t="s">
        <v>1637</v>
      </c>
      <c r="FM21" t="s">
        <v>1506</v>
      </c>
      <c r="FP21" t="s">
        <v>2228</v>
      </c>
      <c r="FQ21" t="s">
        <v>1409</v>
      </c>
      <c r="FR21" t="s">
        <v>1445</v>
      </c>
      <c r="FS21" t="s">
        <v>2148</v>
      </c>
      <c r="FT21" t="s">
        <v>1220</v>
      </c>
      <c r="FU21" t="s">
        <v>895</v>
      </c>
      <c r="FV21" t="s">
        <v>2548</v>
      </c>
      <c r="FW21" t="s">
        <v>1342</v>
      </c>
      <c r="FX21" t="s">
        <v>2549</v>
      </c>
      <c r="FY21" t="s">
        <v>1219</v>
      </c>
      <c r="FZ21" t="s">
        <v>1556</v>
      </c>
      <c r="GA21" t="s">
        <v>901</v>
      </c>
      <c r="GB21" t="s">
        <v>1499</v>
      </c>
      <c r="GC21" t="s">
        <v>2550</v>
      </c>
      <c r="GD21" t="s">
        <v>956</v>
      </c>
      <c r="GE21" t="s">
        <v>1230</v>
      </c>
      <c r="GF21" t="s">
        <v>2551</v>
      </c>
      <c r="GH21" t="s">
        <v>1224</v>
      </c>
      <c r="GI21" t="s">
        <v>1581</v>
      </c>
      <c r="GJ21" t="s">
        <v>972</v>
      </c>
      <c r="GK21" t="s">
        <v>2552</v>
      </c>
      <c r="GL21" t="s">
        <v>2553</v>
      </c>
      <c r="GM21" t="s">
        <v>1457</v>
      </c>
      <c r="GN21" t="s">
        <v>1224</v>
      </c>
      <c r="GO21" t="s">
        <v>968</v>
      </c>
      <c r="GP21" t="s">
        <v>1656</v>
      </c>
      <c r="GR21" t="s">
        <v>1201</v>
      </c>
      <c r="GT21" t="s">
        <v>1274</v>
      </c>
      <c r="GU21" t="s">
        <v>2554</v>
      </c>
      <c r="GV21" t="s">
        <v>2555</v>
      </c>
      <c r="GW21">
        <f>-402.1454--400.5432</f>
        <v>-1.6021999999999821</v>
      </c>
      <c r="GX21">
        <f>-400.0854--398.7122</f>
        <v>-1.3731999999999971</v>
      </c>
      <c r="GY21">
        <f>-398.0255--397.7966</f>
        <v>-0.2289000000000101</v>
      </c>
      <c r="GZ21">
        <f>-401.2299--399.8566</f>
        <v>-1.373299999999972</v>
      </c>
      <c r="HA21">
        <f>-398.7122--397.11</f>
        <v>-1.6021999999999821</v>
      </c>
      <c r="HB21">
        <f>-398.0255--398.2544</f>
        <v>0.22889999999995325</v>
      </c>
      <c r="HC21">
        <f>-400.7721--398.7122</f>
        <v>-2.0599000000000274</v>
      </c>
      <c r="HD21">
        <f>-397.7966--398.0255</f>
        <v>0.2289000000000101</v>
      </c>
      <c r="HE21">
        <f>-398.4833--397.5677</f>
        <v>-0.91559999999998354</v>
      </c>
      <c r="HF21">
        <f>-397.5677--396.8811</f>
        <v>-0.68659999999999854</v>
      </c>
      <c r="HG21">
        <f>-396.4233--395.9656</f>
        <v>-0.45769999999998845</v>
      </c>
      <c r="HH21">
        <f>-398.0255--397.3389</f>
        <v>-0.68659999999999854</v>
      </c>
      <c r="HI21">
        <f>-398.2544--398.0255</f>
        <v>-0.22889999999995325</v>
      </c>
      <c r="HJ21">
        <f>-398.4833--397.3389</f>
        <v>-1.1443999999999619</v>
      </c>
      <c r="HK21">
        <f>-374.6796--375.1373</f>
        <v>0.45769999999998845</v>
      </c>
      <c r="HL21">
        <f>-374.9084--374.6796</f>
        <v>-0.22879999999997835</v>
      </c>
      <c r="HO21">
        <f>-398.2544--398.0255</f>
        <v>-0.22889999999995325</v>
      </c>
      <c r="HQ21">
        <f>-397.11--396.8811</f>
        <v>-0.2289000000000101</v>
      </c>
      <c r="HR21">
        <f>-441.0553--439.4531</f>
        <v>-1.6021999999999821</v>
      </c>
      <c r="HS21">
        <f>-483.8562--483.1696</f>
        <v>-0.68659999999999854</v>
      </c>
      <c r="HT21">
        <f>-484.0851--483.1696</f>
        <v>-0.91550000000000864</v>
      </c>
      <c r="HU21">
        <f>-490.2649--489.3494</f>
        <v>-0.91550000000000864</v>
      </c>
      <c r="HV21">
        <f>-402.3743--397.7966</f>
        <v>-4.577699999999993</v>
      </c>
      <c r="HW21">
        <f>-396.8811--396.1945</f>
        <v>-0.68659999999999854</v>
      </c>
      <c r="HX21">
        <f>-399.6277--398.4833</f>
        <v>-1.1444000000000187</v>
      </c>
      <c r="HY21">
        <f>-397.11--396.8811</f>
        <v>-0.2289000000000101</v>
      </c>
      <c r="HZ21">
        <f>-395.5078--394.1345</f>
        <v>-1.373299999999972</v>
      </c>
      <c r="IA21">
        <f>-396.6522--395.2789</f>
        <v>-1.373299999999972</v>
      </c>
      <c r="IB21">
        <f>-395.2789--394.3634</f>
        <v>-0.91550000000000864</v>
      </c>
      <c r="IC21">
        <f>-394.5923--394.3634</f>
        <v>-0.2289000000000101</v>
      </c>
      <c r="ID21">
        <f>-398.0255--397.11</f>
        <v>-0.91550000000000864</v>
      </c>
      <c r="IE21">
        <f>-400.5432--398.2544</f>
        <v>-2.2888000000000375</v>
      </c>
      <c r="IF21">
        <f>-397.5677--396.6522</f>
        <v>-0.91550000000000864</v>
      </c>
      <c r="IG21">
        <f>-397.11--396.4233</f>
        <v>-0.68670000000003029</v>
      </c>
      <c r="IH21">
        <f>-399.3988--398.0255</f>
        <v>-1.373299999999972</v>
      </c>
      <c r="II21">
        <f>-400.7721--400.0854</f>
        <v>-0.68670000000003029</v>
      </c>
      <c r="IJ21">
        <f>-399.3988--399.1699</f>
        <v>-0.2289000000000101</v>
      </c>
      <c r="IK21">
        <f>-400.3143--399.6277</f>
        <v>-0.68659999999999854</v>
      </c>
      <c r="IL21">
        <f>-359.5734--358.6578</f>
        <v>-0.91559999999998354</v>
      </c>
      <c r="IM21">
        <f>-324.7833--323.6389</f>
        <v>-1.1444000000000187</v>
      </c>
      <c r="IN21">
        <f>-406.723--406.0364</f>
        <v>-0.68659999999999854</v>
      </c>
      <c r="IP21">
        <f>-492.0959--491.1804</f>
        <v>-0.9154999999999518</v>
      </c>
      <c r="IQ21">
        <f>-408.3252--407.8674</f>
        <v>-0.45780000000002019</v>
      </c>
      <c r="IR21">
        <f>-400.7721--400.0854</f>
        <v>-0.68670000000003029</v>
      </c>
      <c r="IT21">
        <f>-397.3389--396.1945</f>
        <v>-1.1444000000000187</v>
      </c>
      <c r="IU21">
        <f>-485.9161--485.6873</f>
        <v>-0.22879999999997835</v>
      </c>
      <c r="IV21">
        <f>-404.4342--403.7476</f>
        <v>-0.68659999999999854</v>
      </c>
      <c r="IW21">
        <f>-403.2898--402.6031</f>
        <v>-0.68670000000003029</v>
      </c>
      <c r="IX21">
        <f>-413.1317--412.9028</f>
        <v>-0.2289000000000101</v>
      </c>
      <c r="IY21">
        <f>-492.5537--491.4093</f>
        <v>-1.1444000000000187</v>
      </c>
      <c r="IZ21">
        <f>-493.6981--492.5537</f>
        <v>-1.1444000000000187</v>
      </c>
      <c r="JA21">
        <f>-490.036--489.8071</f>
        <v>-0.2289000000000101</v>
      </c>
      <c r="JB21">
        <f>-487.5183--486.8317</f>
        <v>-0.68659999999999854</v>
      </c>
      <c r="JC21">
        <f>-407.1808--406.2653</f>
        <v>-0.9154999999999518</v>
      </c>
      <c r="JD21">
        <f>-390.4724--389.0991</f>
        <v>-1.373299999999972</v>
      </c>
      <c r="JE21">
        <f>-397.11--393.6768</f>
        <v>-3.4331999999999994</v>
      </c>
      <c r="JF21">
        <f>-392.0746--391.1591</f>
        <v>-0.9154999999999518</v>
      </c>
      <c r="JG21">
        <f>-393.6768--392.5323</f>
        <v>-1.1444999999999936</v>
      </c>
      <c r="JH21">
        <f>-397.3389--396.4233</f>
        <v>-0.91560000000004038</v>
      </c>
      <c r="JJ21">
        <f>-398.941--397.5677</f>
        <v>-1.373299999999972</v>
      </c>
      <c r="JK21">
        <f>-398.7122--397.3389</f>
        <v>-1.373299999999972</v>
      </c>
      <c r="JL21">
        <f>-394.5923--393.6768</f>
        <v>-0.91550000000000864</v>
      </c>
      <c r="JM21">
        <f>-399.3988--398.0255</f>
        <v>-1.373299999999972</v>
      </c>
      <c r="JN21">
        <f>-399.1699--397.5677</f>
        <v>-1.6021999999999821</v>
      </c>
      <c r="JO21">
        <f>-399.8566--398.7122</f>
        <v>-1.1444000000000187</v>
      </c>
      <c r="JP21">
        <f>-398.0255--396.6522</f>
        <v>-1.3733000000000288</v>
      </c>
      <c r="JQ21">
        <f>-398.2544--397.7966</f>
        <v>-0.45779999999996335</v>
      </c>
      <c r="JR21">
        <f>-398.2544--398.7122</f>
        <v>0.45780000000002019</v>
      </c>
      <c r="JS21">
        <f>-397.5677--396.6522</f>
        <v>-0.91550000000000864</v>
      </c>
      <c r="JT21">
        <f>-397.7966--396.8811</f>
        <v>-0.91550000000000864</v>
      </c>
      <c r="JU21">
        <f>-395.2789--394.1345</f>
        <v>-1.1444000000000187</v>
      </c>
      <c r="JV21">
        <f>-396.4233--395.7367</f>
        <v>-0.68659999999999854</v>
      </c>
      <c r="JW21">
        <f>-397.11--395.7367</f>
        <v>-1.3733000000000288</v>
      </c>
      <c r="JZ21">
        <f>-396.6522--395.7367</f>
        <v>-0.91550000000000864</v>
      </c>
      <c r="KB21">
        <f>-395.7367--394.8212</f>
        <v>-0.91550000000000864</v>
      </c>
      <c r="KC21">
        <f>-397.11--396.6522</f>
        <v>-0.45780000000002019</v>
      </c>
      <c r="KD21">
        <f>-395.9656--394.8212</f>
        <v>-1.1444000000000187</v>
      </c>
      <c r="KE21">
        <f>-372.1619--372.8485</f>
        <v>0.68659999999999854</v>
      </c>
      <c r="KF21">
        <f>-395.7367--394.8212</f>
        <v>-0.91550000000000864</v>
      </c>
      <c r="KG21">
        <f>-373.5352--373.9929</f>
        <v>0.45770000000004529</v>
      </c>
      <c r="KH21">
        <f>-375.3662--374.2218</f>
        <v>-1.1444000000000187</v>
      </c>
      <c r="KI21">
        <f>-376.0529--374.9084</f>
        <v>-1.1445000000000505</v>
      </c>
      <c r="KJ21">
        <f>-395.5078--394.8212</f>
        <v>-0.68659999999999854</v>
      </c>
      <c r="KK21">
        <f>-395.9656--394.5923</f>
        <v>-1.373299999999972</v>
      </c>
      <c r="KL21">
        <f>-396.6522--397.11</f>
        <v>0.45780000000002019</v>
      </c>
      <c r="KM21">
        <f>-395.05--394.3634</f>
        <v>-0.68659999999999854</v>
      </c>
      <c r="KN21">
        <f>-396.4233--395.9656</f>
        <v>-0.45769999999998845</v>
      </c>
      <c r="KO21">
        <f>-399.6277--395.7367</f>
        <v>-3.8910000000000196</v>
      </c>
      <c r="KP21">
        <f>-398.2544--397.11</f>
        <v>-1.1443999999999619</v>
      </c>
      <c r="KQ21">
        <f>-411.9873--411.7584</f>
        <v>-0.2289000000000101</v>
      </c>
      <c r="KR21">
        <f>-398.4833--397.11</f>
        <v>-1.373299999999972</v>
      </c>
      <c r="KS21">
        <f>-398.7122--397.11</f>
        <v>-1.6021999999999821</v>
      </c>
      <c r="KT21">
        <f>-400.3143--398.2544</f>
        <v>-2.0599000000000274</v>
      </c>
      <c r="KU21">
        <f>-406.0364--398.7122</f>
        <v>-7.3242000000000189</v>
      </c>
      <c r="KW21">
        <f>-398.2544--397.11</f>
        <v>-1.1443999999999619</v>
      </c>
      <c r="KX21">
        <f>-399.6277--398.4833</f>
        <v>-1.1444000000000187</v>
      </c>
      <c r="KY21">
        <f>-399.6277--397.7966</f>
        <v>-1.8310999999999922</v>
      </c>
      <c r="KZ21">
        <f>-398.4833--397.7966</f>
        <v>-0.68669999999997344</v>
      </c>
      <c r="LA21">
        <f>-397.11--396.1945</f>
        <v>-0.91550000000000864</v>
      </c>
      <c r="LC21">
        <f>-398.7122--397.3389</f>
        <v>-1.373299999999972</v>
      </c>
      <c r="LD21">
        <f>-397.7966--397.11</f>
        <v>-0.68659999999999854</v>
      </c>
      <c r="LE21">
        <f>-375.1373--374.6796</f>
        <v>-0.45769999999998845</v>
      </c>
      <c r="LF21">
        <f>-374.4507--373.764</f>
        <v>-0.68669999999997344</v>
      </c>
      <c r="LG21">
        <f>-396.6522--396.1945</f>
        <v>-0.45769999999998845</v>
      </c>
      <c r="LH21">
        <f>-397.7966--396.8811</f>
        <v>-0.91550000000000864</v>
      </c>
      <c r="LI21">
        <f>-398.4833--397.5677</f>
        <v>-0.91559999999998354</v>
      </c>
      <c r="LJ21">
        <f>-396.8811--396.1945</f>
        <v>-0.68659999999999854</v>
      </c>
      <c r="LL21">
        <f>-398.7122--397.5677</f>
        <v>-1.1444999999999936</v>
      </c>
      <c r="LM21">
        <f>-407.4097--407.1808</f>
        <v>-0.2289000000000101</v>
      </c>
      <c r="LN21">
        <f>-396.8811--397.3389</f>
        <v>0.45780000000002019</v>
      </c>
      <c r="LO21">
        <f>-478.1342--476.9897</f>
        <v>-1.1444999999999936</v>
      </c>
      <c r="LP21">
        <f>-481.7963--480.8807</f>
        <v>-0.91559999999998354</v>
      </c>
      <c r="LQ21">
        <f>-483.1696--482.4829</f>
        <v>-0.68670000000003029</v>
      </c>
      <c r="LR21">
        <f>-396.6522--394.3634</f>
        <v>-2.2887999999999806</v>
      </c>
      <c r="LS21">
        <f>-395.9656--394.8212</f>
        <v>-1.1444000000000187</v>
      </c>
      <c r="LT21">
        <f>-396.6522--395.9656</f>
        <v>-0.68659999999999854</v>
      </c>
      <c r="LU21">
        <f>-394.1345--392.5323</f>
        <v>-1.6021999999999821</v>
      </c>
      <c r="LV21">
        <f>-394.5923--392.7612</f>
        <v>-1.831100000000049</v>
      </c>
      <c r="LW21">
        <f>-395.2789--394.5923</f>
        <v>-0.68659999999999854</v>
      </c>
      <c r="LX21">
        <f>-393.219--392.9901</f>
        <v>-0.2289000000000101</v>
      </c>
      <c r="LY21">
        <f>-395.2789--393.9056</f>
        <v>-1.3733000000000288</v>
      </c>
      <c r="LZ21">
        <f>-396.1945--394.3634</f>
        <v>-1.8310999999999922</v>
      </c>
      <c r="MA21">
        <f>-397.5677--396.4233</f>
        <v>-1.1444000000000187</v>
      </c>
      <c r="MB21">
        <f>-393.6768--393.9056</f>
        <v>0.22879999999997835</v>
      </c>
      <c r="MC21">
        <f>-397.5677--398.0255</f>
        <v>0.45780000000002019</v>
      </c>
      <c r="MD21">
        <f>-398.4833--397.11</f>
        <v>-1.373299999999972</v>
      </c>
      <c r="ME21">
        <f>-398.941--397.7966</f>
        <v>-1.1443999999999619</v>
      </c>
      <c r="MF21">
        <f>-400.7721--399.1699</f>
        <v>-1.6022000000000389</v>
      </c>
      <c r="MG21">
        <f>-407.8674--406.9519</f>
        <v>-0.9154999999999518</v>
      </c>
      <c r="MH21">
        <f>-404.892--403.7476</f>
        <v>-1.1444000000000187</v>
      </c>
      <c r="MI21">
        <f>-399.8566--399.3988</f>
        <v>-0.45780000000002019</v>
      </c>
      <c r="MJ21">
        <f>-400.7721--399.8566</f>
        <v>-0.91550000000000864</v>
      </c>
      <c r="MK21">
        <f>-399.3988--399.6277</f>
        <v>0.2289000000000101</v>
      </c>
      <c r="ML21">
        <f>-355.4535--354.3091</f>
        <v>-1.1444000000000187</v>
      </c>
      <c r="MM21">
        <f>-321.579--319.7479</f>
        <v>-1.8310999999999922</v>
      </c>
      <c r="MN21">
        <f>-483.6273--483.1696</f>
        <v>-0.45769999999998845</v>
      </c>
      <c r="MO21">
        <f>-488.6627--487.5183</f>
        <v>-1.1443999999999619</v>
      </c>
      <c r="MP21">
        <f>-405.5786--403.9764</f>
        <v>-1.6021999999999821</v>
      </c>
      <c r="MQ21">
        <f>-486.8317--485.6873</f>
        <v>-1.1444000000000187</v>
      </c>
      <c r="MR21">
        <f>-488.4338--487.2894</f>
        <v>-1.1444000000000187</v>
      </c>
      <c r="MS21">
        <f>-494.3848--490.9515</f>
        <v>-3.4332999999999743</v>
      </c>
      <c r="MT21">
        <f>-401.001--400.0854</f>
        <v>-0.91559999999998354</v>
      </c>
      <c r="MU21">
        <f>-402.3743--402.1454</f>
        <v>-0.2289000000000101</v>
      </c>
      <c r="MV21">
        <f>-410.1563--408.5541</f>
        <v>-1.6021999999999821</v>
      </c>
      <c r="MX21">
        <f>-495.3003--494.3848</f>
        <v>-0.91550000000000864</v>
      </c>
      <c r="MY21">
        <f>-495.3003--494.1559</f>
        <v>-1.1444000000000187</v>
      </c>
      <c r="MZ21">
        <f>-489.1205--487.2894</f>
        <v>-1.8310999999999922</v>
      </c>
      <c r="NA21">
        <f>-471.7255--470.1233</f>
        <v>-1.6022000000000389</v>
      </c>
      <c r="NB21">
        <f>-391.1591--389.0991</f>
        <v>-2.0600000000000023</v>
      </c>
      <c r="ND21">
        <f>-392.5323--392.0746</f>
        <v>-0.45770000000004529</v>
      </c>
      <c r="NF21">
        <f>-394.8212--393.6768</f>
        <v>-1.1443999999999619</v>
      </c>
      <c r="NG21">
        <f>-395.5078--393.6768</f>
        <v>-1.8309999999999604</v>
      </c>
      <c r="NH21">
        <f>-399.8566--398.4833</f>
        <v>-1.3733000000000288</v>
      </c>
      <c r="NI21">
        <f>-394.3634--393.9056</f>
        <v>-0.45780000000002019</v>
      </c>
      <c r="NJ21">
        <f>-398.0255--397.3389</f>
        <v>-0.68659999999999854</v>
      </c>
      <c r="NK21">
        <f>-395.05--394.3634</f>
        <v>-0.68659999999999854</v>
      </c>
      <c r="NL21">
        <f>-395.05--394.1345</f>
        <v>-0.91550000000000864</v>
      </c>
      <c r="NM21">
        <f>-399.1699--397.11</f>
        <v>-2.0598999999999705</v>
      </c>
      <c r="NN21">
        <f>-394.8212--394.5923</f>
        <v>-0.22889999999995325</v>
      </c>
      <c r="NP21">
        <f>-399.8566--398.2544</f>
        <v>-1.6022000000000389</v>
      </c>
      <c r="NQ21">
        <f>-398.7122--397.3389</f>
        <v>-1.373299999999972</v>
      </c>
      <c r="NR21">
        <f>-396.1945--395.7367</f>
        <v>-0.45780000000002019</v>
      </c>
      <c r="NT21">
        <f>-396.4233--395.5078</f>
        <v>-0.91550000000000864</v>
      </c>
      <c r="NV21">
        <f>-393.4479--394.3634</f>
        <v>0.91550000000000864</v>
      </c>
      <c r="NW21">
        <f>-410.1563--409.9274</f>
        <v>-0.2289000000000101</v>
      </c>
      <c r="NX21">
        <f>-395.7367--395.05</f>
        <v>-0.68669999999997344</v>
      </c>
      <c r="NY21">
        <f>-396.4233--395.9656</f>
        <v>-0.45769999999998845</v>
      </c>
      <c r="NZ21">
        <f>-393.219--393.4479</f>
        <v>0.2289000000000101</v>
      </c>
      <c r="OA21">
        <f>-395.2789--394.8212</f>
        <v>-0.45770000000004529</v>
      </c>
      <c r="OB21">
        <f>-372.6196--371.7041</f>
        <v>-0.91550000000000864</v>
      </c>
      <c r="OC21">
        <f>-396.6522--395.7367</f>
        <v>-0.91550000000000864</v>
      </c>
      <c r="OE21">
        <f>-374.4507--374.2218</f>
        <v>-0.2289000000000101</v>
      </c>
      <c r="OF21">
        <f>-373.764--373.5352</f>
        <v>-0.2288000000000352</v>
      </c>
      <c r="OG21">
        <f>-398.2544--397.3389</f>
        <v>-0.9154999999999518</v>
      </c>
      <c r="OH21">
        <f>-397.11--396.8811</f>
        <v>-0.2289000000000101</v>
      </c>
      <c r="OI21">
        <f>-396.1945--394.5923</f>
        <v>-1.6021999999999821</v>
      </c>
      <c r="OJ21">
        <f>-395.7367--396.4233</f>
        <v>0.68659999999999854</v>
      </c>
      <c r="OK21">
        <f>-395.5078--395.7367</f>
        <v>0.2289000000000101</v>
      </c>
      <c r="OL21">
        <f>-396.4233--396.8811</f>
        <v>0.45780000000002019</v>
      </c>
      <c r="OM21">
        <f>-396.4233--395.2789</f>
        <v>-1.1443999999999619</v>
      </c>
      <c r="ON21">
        <f>-396.8811--397.11</f>
        <v>0.2289000000000101</v>
      </c>
      <c r="OO21">
        <f>-409.9274--405.5786</f>
        <v>-4.3487999999999829</v>
      </c>
      <c r="OP21">
        <f>-401.9165--400.5432</f>
        <v>-1.373299999999972</v>
      </c>
      <c r="QE21">
        <v>-1</v>
      </c>
      <c r="QF21">
        <v>-1</v>
      </c>
      <c r="QG21">
        <v>-1</v>
      </c>
      <c r="QH21">
        <v>-1</v>
      </c>
      <c r="QI21">
        <v>-1</v>
      </c>
      <c r="QJ21">
        <v>-1</v>
      </c>
      <c r="QK21">
        <v>-1</v>
      </c>
      <c r="QL21">
        <v>-1</v>
      </c>
    </row>
    <row r="22" spans="1:454" x14ac:dyDescent="0.25">
      <c r="A22" t="s">
        <v>2556</v>
      </c>
      <c r="B22" t="s">
        <v>869</v>
      </c>
      <c r="C22" t="s">
        <v>2426</v>
      </c>
      <c r="D22" t="s">
        <v>2106</v>
      </c>
      <c r="E22" t="s">
        <v>2387</v>
      </c>
      <c r="F22" t="s">
        <v>1406</v>
      </c>
      <c r="G22" t="s">
        <v>2243</v>
      </c>
      <c r="H22" t="s">
        <v>2162</v>
      </c>
      <c r="I22" t="s">
        <v>2557</v>
      </c>
      <c r="J22" t="s">
        <v>1044</v>
      </c>
      <c r="K22" t="s">
        <v>2170</v>
      </c>
      <c r="L22" t="s">
        <v>1182</v>
      </c>
      <c r="M22" t="s">
        <v>1220</v>
      </c>
      <c r="N22" t="s">
        <v>2558</v>
      </c>
      <c r="O22" t="s">
        <v>2547</v>
      </c>
      <c r="P22" t="s">
        <v>1210</v>
      </c>
      <c r="Q22" t="s">
        <v>1303</v>
      </c>
      <c r="R22" t="s">
        <v>1602</v>
      </c>
      <c r="S22" t="s">
        <v>1997</v>
      </c>
      <c r="T22" t="s">
        <v>967</v>
      </c>
      <c r="U22" t="s">
        <v>1044</v>
      </c>
      <c r="V22" t="s">
        <v>1091</v>
      </c>
      <c r="W22" t="s">
        <v>1341</v>
      </c>
      <c r="X22" t="s">
        <v>2559</v>
      </c>
      <c r="Y22" t="s">
        <v>2560</v>
      </c>
      <c r="AA22" t="s">
        <v>2561</v>
      </c>
      <c r="AB22" t="s">
        <v>1287</v>
      </c>
      <c r="AC22" t="s">
        <v>1437</v>
      </c>
      <c r="AE22" t="s">
        <v>1002</v>
      </c>
      <c r="AF22" t="s">
        <v>2562</v>
      </c>
      <c r="AG22" t="s">
        <v>2492</v>
      </c>
      <c r="AH22" t="s">
        <v>1439</v>
      </c>
      <c r="AI22" t="s">
        <v>1243</v>
      </c>
      <c r="AJ22" t="s">
        <v>1225</v>
      </c>
      <c r="AK22" t="s">
        <v>1211</v>
      </c>
      <c r="AO22" t="s">
        <v>1665</v>
      </c>
      <c r="AP22" t="s">
        <v>1163</v>
      </c>
      <c r="AQ22" t="s">
        <v>2178</v>
      </c>
      <c r="AR22" t="s">
        <v>2563</v>
      </c>
      <c r="AT22" t="s">
        <v>1600</v>
      </c>
      <c r="AV22" t="s">
        <v>1563</v>
      </c>
      <c r="AW22" t="s">
        <v>1964</v>
      </c>
      <c r="AX22" t="s">
        <v>2083</v>
      </c>
      <c r="AY22" t="s">
        <v>2436</v>
      </c>
      <c r="AZ22" t="s">
        <v>1276</v>
      </c>
      <c r="BA22" t="s">
        <v>1134</v>
      </c>
      <c r="BB22" t="s">
        <v>941</v>
      </c>
      <c r="BD22" t="s">
        <v>1271</v>
      </c>
      <c r="BE22" t="s">
        <v>2564</v>
      </c>
      <c r="BF22" t="s">
        <v>2565</v>
      </c>
      <c r="BG22" t="s">
        <v>1924</v>
      </c>
      <c r="BH22" t="s">
        <v>1735</v>
      </c>
      <c r="BI22" t="s">
        <v>1468</v>
      </c>
      <c r="BJ22" t="s">
        <v>2547</v>
      </c>
      <c r="BL22" t="s">
        <v>2566</v>
      </c>
      <c r="BN22" t="s">
        <v>1109</v>
      </c>
      <c r="BO22" t="s">
        <v>1153</v>
      </c>
      <c r="BP22" t="s">
        <v>2567</v>
      </c>
      <c r="BQ22" t="s">
        <v>1227</v>
      </c>
      <c r="BR22" t="s">
        <v>931</v>
      </c>
      <c r="BS22" t="s">
        <v>2568</v>
      </c>
      <c r="BT22" t="s">
        <v>2569</v>
      </c>
      <c r="BU22" t="s">
        <v>1195</v>
      </c>
      <c r="BV22" t="s">
        <v>1980</v>
      </c>
      <c r="BW22" t="s">
        <v>2390</v>
      </c>
      <c r="BX22" t="s">
        <v>1865</v>
      </c>
      <c r="BY22" t="s">
        <v>1827</v>
      </c>
      <c r="BZ22" t="s">
        <v>965</v>
      </c>
      <c r="CA22" t="s">
        <v>2066</v>
      </c>
      <c r="CB22" t="s">
        <v>1351</v>
      </c>
      <c r="CC22" t="s">
        <v>2570</v>
      </c>
      <c r="CE22" t="s">
        <v>2571</v>
      </c>
      <c r="CG22" t="s">
        <v>987</v>
      </c>
      <c r="CH22" t="s">
        <v>1171</v>
      </c>
      <c r="CI22" t="s">
        <v>1461</v>
      </c>
      <c r="CJ22" t="s">
        <v>1441</v>
      </c>
      <c r="CM22" t="s">
        <v>2572</v>
      </c>
      <c r="CN22" t="s">
        <v>1644</v>
      </c>
      <c r="CO22" t="s">
        <v>1192</v>
      </c>
      <c r="CP22" t="s">
        <v>1250</v>
      </c>
      <c r="CQ22" t="s">
        <v>1350</v>
      </c>
      <c r="CR22" t="s">
        <v>1154</v>
      </c>
      <c r="CT22" t="s">
        <v>1043</v>
      </c>
      <c r="CU22" t="s">
        <v>1233</v>
      </c>
      <c r="CV22" t="s">
        <v>1090</v>
      </c>
      <c r="CW22" t="s">
        <v>1057</v>
      </c>
      <c r="CY22" t="s">
        <v>2573</v>
      </c>
      <c r="CZ22" t="s">
        <v>2244</v>
      </c>
      <c r="DA22" t="s">
        <v>2081</v>
      </c>
      <c r="DC22" t="s">
        <v>2176</v>
      </c>
      <c r="DD22" t="s">
        <v>2574</v>
      </c>
      <c r="DE22" t="s">
        <v>2575</v>
      </c>
      <c r="DF22" t="s">
        <v>2576</v>
      </c>
      <c r="DG22" t="s">
        <v>1098</v>
      </c>
      <c r="DH22" t="s">
        <v>2577</v>
      </c>
      <c r="DI22" t="s">
        <v>1529</v>
      </c>
      <c r="DJ22" t="s">
        <v>1637</v>
      </c>
      <c r="DK22" t="s">
        <v>957</v>
      </c>
      <c r="DL22" t="s">
        <v>883</v>
      </c>
      <c r="DM22" t="s">
        <v>964</v>
      </c>
      <c r="DN22" t="s">
        <v>1974</v>
      </c>
      <c r="DO22" t="s">
        <v>1013</v>
      </c>
      <c r="DR22" t="s">
        <v>1222</v>
      </c>
      <c r="DS22" t="s">
        <v>1223</v>
      </c>
      <c r="DT22" t="s">
        <v>2578</v>
      </c>
      <c r="DU22" t="s">
        <v>2579</v>
      </c>
      <c r="DV22" t="s">
        <v>1868</v>
      </c>
      <c r="DW22" t="s">
        <v>1200</v>
      </c>
      <c r="DX22" t="s">
        <v>1745</v>
      </c>
      <c r="DY22" t="s">
        <v>1284</v>
      </c>
      <c r="DZ22" t="s">
        <v>1891</v>
      </c>
      <c r="EA22" t="s">
        <v>1243</v>
      </c>
      <c r="EB22" t="s">
        <v>1088</v>
      </c>
      <c r="EC22" t="s">
        <v>1807</v>
      </c>
      <c r="ED22" t="s">
        <v>943</v>
      </c>
      <c r="EE22" t="s">
        <v>967</v>
      </c>
      <c r="EF22" t="s">
        <v>1043</v>
      </c>
      <c r="EH22" t="s">
        <v>1229</v>
      </c>
      <c r="EI22" t="s">
        <v>1704</v>
      </c>
      <c r="EK22" t="s">
        <v>1630</v>
      </c>
      <c r="EL22" t="s">
        <v>1347</v>
      </c>
      <c r="EM22" t="s">
        <v>1688</v>
      </c>
      <c r="EN22" t="s">
        <v>1471</v>
      </c>
      <c r="EO22" t="s">
        <v>2244</v>
      </c>
      <c r="EP22" t="s">
        <v>1456</v>
      </c>
      <c r="EQ22" t="s">
        <v>1043</v>
      </c>
      <c r="ER22" t="s">
        <v>2580</v>
      </c>
      <c r="ES22" t="s">
        <v>2581</v>
      </c>
      <c r="ET22" t="s">
        <v>2226</v>
      </c>
      <c r="EU22" t="s">
        <v>2582</v>
      </c>
      <c r="EV22" t="s">
        <v>876</v>
      </c>
      <c r="EW22" t="s">
        <v>2583</v>
      </c>
      <c r="EX22" t="s">
        <v>2167</v>
      </c>
      <c r="EY22" t="s">
        <v>2584</v>
      </c>
      <c r="EZ22" t="s">
        <v>950</v>
      </c>
      <c r="FA22" t="s">
        <v>1027</v>
      </c>
      <c r="FB22" t="s">
        <v>1146</v>
      </c>
      <c r="FE22" t="s">
        <v>1509</v>
      </c>
      <c r="FF22" t="s">
        <v>2585</v>
      </c>
      <c r="FG22" t="s">
        <v>2586</v>
      </c>
      <c r="FH22" t="s">
        <v>1162</v>
      </c>
      <c r="FJ22" t="s">
        <v>2514</v>
      </c>
      <c r="FK22" t="s">
        <v>1340</v>
      </c>
      <c r="FL22" t="s">
        <v>1248</v>
      </c>
      <c r="FM22" t="s">
        <v>2587</v>
      </c>
      <c r="FN22" t="s">
        <v>1221</v>
      </c>
      <c r="FO22" t="s">
        <v>2129</v>
      </c>
      <c r="FP22" t="s">
        <v>2588</v>
      </c>
      <c r="FQ22" t="s">
        <v>1892</v>
      </c>
      <c r="FR22" t="s">
        <v>2216</v>
      </c>
      <c r="FT22" t="s">
        <v>1229</v>
      </c>
      <c r="FU22" t="s">
        <v>2191</v>
      </c>
      <c r="FW22" t="s">
        <v>1685</v>
      </c>
      <c r="FX22" t="s">
        <v>2199</v>
      </c>
      <c r="GA22" t="s">
        <v>1118</v>
      </c>
      <c r="GB22" t="s">
        <v>2016</v>
      </c>
      <c r="GC22" t="s">
        <v>2589</v>
      </c>
      <c r="GD22" t="s">
        <v>1230</v>
      </c>
      <c r="GE22" t="s">
        <v>931</v>
      </c>
      <c r="GF22" t="s">
        <v>2074</v>
      </c>
      <c r="GG22" t="s">
        <v>1461</v>
      </c>
      <c r="GH22" t="s">
        <v>988</v>
      </c>
      <c r="GI22" t="s">
        <v>949</v>
      </c>
      <c r="GJ22" t="s">
        <v>1566</v>
      </c>
      <c r="GK22" t="s">
        <v>936</v>
      </c>
      <c r="GL22" t="s">
        <v>1011</v>
      </c>
      <c r="GM22" t="s">
        <v>943</v>
      </c>
      <c r="GN22" t="s">
        <v>1254</v>
      </c>
      <c r="GO22" t="s">
        <v>1182</v>
      </c>
      <c r="GP22" t="s">
        <v>1544</v>
      </c>
      <c r="GQ22" t="s">
        <v>1080</v>
      </c>
      <c r="GR22" t="s">
        <v>2590</v>
      </c>
      <c r="GS22" t="s">
        <v>1864</v>
      </c>
      <c r="GU22" t="s">
        <v>2591</v>
      </c>
      <c r="GV22" t="s">
        <v>1109</v>
      </c>
      <c r="GW22">
        <f>-401.001--400.0854</f>
        <v>-0.91559999999998354</v>
      </c>
      <c r="GX22">
        <f>-399.1699--400.3143</f>
        <v>1.1444000000000187</v>
      </c>
      <c r="GY22">
        <f>-398.7122--398.941</f>
        <v>0.22879999999997835</v>
      </c>
      <c r="GZ22">
        <f>-401.4587--401.001</f>
        <v>-0.45770000000004529</v>
      </c>
      <c r="HA22">
        <f>-399.6277--398.7122</f>
        <v>-0.91550000000000864</v>
      </c>
      <c r="HB22">
        <f>-400.5432--400.7721</f>
        <v>0.2289000000000101</v>
      </c>
      <c r="HC22">
        <f>-398.4833--397.3389</f>
        <v>-1.1443999999999619</v>
      </c>
      <c r="HE22">
        <f>-400.5432--398.7122</f>
        <v>-1.8310000000000173</v>
      </c>
      <c r="HF22">
        <f>-399.3988--398.0255</f>
        <v>-1.373299999999972</v>
      </c>
      <c r="HH22">
        <f>-397.5677--397.11</f>
        <v>-0.45769999999998845</v>
      </c>
      <c r="HI22">
        <f>-397.7966--396.6522</f>
        <v>-1.1444000000000187</v>
      </c>
      <c r="HJ22">
        <f>-398.4833--398.0255</f>
        <v>-0.45779999999996335</v>
      </c>
      <c r="HK22">
        <f>-376.0529--376.5106</f>
        <v>0.45769999999998845</v>
      </c>
      <c r="HL22">
        <f>-375.824--375.5951</f>
        <v>-0.2289000000000101</v>
      </c>
      <c r="HO22">
        <f>-398.4833--397.7966</f>
        <v>-0.68669999999997344</v>
      </c>
      <c r="HP22">
        <f>-396.4233--397.11</f>
        <v>0.68670000000003029</v>
      </c>
      <c r="HS22">
        <f>-483.3984--482.7118</f>
        <v>-0.68659999999999854</v>
      </c>
      <c r="HT22">
        <f>-483.8562--484.5428</f>
        <v>0.68659999999999854</v>
      </c>
      <c r="HU22">
        <f>-490.2649--489.3494</f>
        <v>-0.91550000000000864</v>
      </c>
      <c r="HV22">
        <f>-399.6277--398.4833</f>
        <v>-1.1444000000000187</v>
      </c>
      <c r="HW22">
        <f>-399.3988--399.1699</f>
        <v>-0.2289000000000101</v>
      </c>
      <c r="HX22">
        <f>-398.941--397.5677</f>
        <v>-1.373299999999972</v>
      </c>
      <c r="HY22">
        <f>-398.941--399.3988</f>
        <v>0.45780000000002019</v>
      </c>
      <c r="HZ22">
        <f>-396.4233--397.7966</f>
        <v>1.3733000000000288</v>
      </c>
      <c r="IA22">
        <f>-396.4233--394.8212</f>
        <v>-1.6021000000000072</v>
      </c>
      <c r="IB22">
        <f>-393.4479--392.7612</f>
        <v>-0.68670000000003029</v>
      </c>
      <c r="IC22">
        <f>-396.4233--395.5078</f>
        <v>-0.91550000000000864</v>
      </c>
      <c r="ID22">
        <f>-399.3988--398.7122</f>
        <v>-0.68659999999999854</v>
      </c>
      <c r="IE22">
        <f>-399.3988--399.8566</f>
        <v>0.45780000000002019</v>
      </c>
      <c r="IF22">
        <f>-401.4587--401.001</f>
        <v>-0.45770000000004529</v>
      </c>
      <c r="IG22">
        <f>-398.941--398.7122</f>
        <v>-0.22879999999997835</v>
      </c>
      <c r="IH22">
        <f>-401.4587--401.001</f>
        <v>-0.45770000000004529</v>
      </c>
      <c r="II22">
        <f>-399.1699--399.3988</f>
        <v>0.2289000000000101</v>
      </c>
      <c r="IJ22">
        <f>-402.3743--401.9165</f>
        <v>-0.45780000000002019</v>
      </c>
      <c r="IK22">
        <f>-401.4587--401.2299</f>
        <v>-0.2288000000000352</v>
      </c>
      <c r="IM22">
        <f>-324.3256--324.7833</f>
        <v>0.45769999999998845</v>
      </c>
      <c r="IO22">
        <f>-487.7472--487.5183</f>
        <v>-0.2289000000000101</v>
      </c>
      <c r="IP22">
        <f>-493.2404--492.0959</f>
        <v>-1.1445000000000505</v>
      </c>
      <c r="IQ22">
        <f>-401.4587--401.001</f>
        <v>-0.45770000000004529</v>
      </c>
      <c r="IS22">
        <f>-405.8075--405.5786</f>
        <v>-0.2289000000000101</v>
      </c>
      <c r="IT22">
        <f>-406.723--405.5786</f>
        <v>-1.1444000000000187</v>
      </c>
      <c r="IU22">
        <f>-487.9761--488.205</f>
        <v>0.2289000000000101</v>
      </c>
      <c r="IV22">
        <f>-407.6385--406.723</f>
        <v>-0.91550000000000864</v>
      </c>
      <c r="IW22">
        <f>-409.0118--407.6385</f>
        <v>-1.373299999999972</v>
      </c>
      <c r="IX22">
        <f>-404.6631--404.892</f>
        <v>0.2289000000000101</v>
      </c>
      <c r="IY22">
        <f>-492.5537--492.0959</f>
        <v>-0.45780000000002019</v>
      </c>
      <c r="IZ22">
        <f>-490.7227--489.8071</f>
        <v>-0.91559999999998354</v>
      </c>
      <c r="JA22">
        <f>-483.6273--484.0851</f>
        <v>0.45780000000002019</v>
      </c>
      <c r="JB22">
        <f>-486.6028--485.2295</f>
        <v>-1.3733000000000288</v>
      </c>
      <c r="JC22">
        <f>-405.5786--403.9764</f>
        <v>-1.6021999999999821</v>
      </c>
      <c r="JD22">
        <f>-389.328--389.0991</f>
        <v>-0.22889999999995325</v>
      </c>
      <c r="JE22">
        <f>-394.3634--393.4479</f>
        <v>-0.91550000000000864</v>
      </c>
      <c r="JF22">
        <f>-392.3035--393.219</f>
        <v>0.91550000000000864</v>
      </c>
      <c r="JG22">
        <f>-392.9901--393.219</f>
        <v>0.2289000000000101</v>
      </c>
      <c r="JH22">
        <f>-397.5677--397.7966</f>
        <v>0.2289000000000101</v>
      </c>
      <c r="JI22">
        <f>-393.6768--394.5923</f>
        <v>0.91550000000000864</v>
      </c>
      <c r="JJ22">
        <f>-397.11--396.8811</f>
        <v>-0.2289000000000101</v>
      </c>
      <c r="JL22">
        <f>-394.1345--393.6768</f>
        <v>-0.45769999999998845</v>
      </c>
      <c r="JM22">
        <f>-398.0255--399.6277</f>
        <v>1.6021999999999821</v>
      </c>
      <c r="JN22">
        <f>-398.0255--398.2544</f>
        <v>0.22889999999995325</v>
      </c>
      <c r="JO22">
        <f>-398.7122--397.7966</f>
        <v>-0.91559999999998354</v>
      </c>
      <c r="JP22">
        <f>-396.4233--395.7367</f>
        <v>-0.68659999999999854</v>
      </c>
      <c r="JQ22">
        <f>-398.2544--397.5677</f>
        <v>-0.68669999999997344</v>
      </c>
      <c r="JR22">
        <f>-397.7966--398.0255</f>
        <v>0.2289000000000101</v>
      </c>
      <c r="JS22">
        <f>-400.3143--399.3988</f>
        <v>-0.91550000000000864</v>
      </c>
      <c r="JT22">
        <f>-399.1699--398.0255</f>
        <v>-1.1443999999999619</v>
      </c>
      <c r="JU22">
        <f>-397.5677--396.6522</f>
        <v>-0.91550000000000864</v>
      </c>
      <c r="JV22">
        <f>-398.941--399.3988</f>
        <v>0.45780000000002019</v>
      </c>
      <c r="JW22">
        <f>-398.0255--397.3389</f>
        <v>-0.68659999999999854</v>
      </c>
      <c r="JX22">
        <f>-396.1945--396.4233</f>
        <v>0.22879999999997835</v>
      </c>
      <c r="JZ22">
        <f>-397.7966--397.11</f>
        <v>-0.68659999999999854</v>
      </c>
      <c r="KA22">
        <f>-406.2653--405.8075</f>
        <v>-0.45780000000002019</v>
      </c>
      <c r="KB22">
        <f>-396.6522--396.8811</f>
        <v>0.2289000000000101</v>
      </c>
      <c r="KC22">
        <f>-396.8811--396.4233</f>
        <v>-0.45780000000002019</v>
      </c>
      <c r="KD22">
        <f>-396.8811--395.9656</f>
        <v>-0.91550000000000864</v>
      </c>
      <c r="KE22">
        <f>-373.0774--373.764</f>
        <v>0.68659999999999854</v>
      </c>
      <c r="KG22">
        <f>-373.0774--373.5352</f>
        <v>0.45779999999996335</v>
      </c>
      <c r="KH22">
        <f>-372.8485--372.6196</f>
        <v>-0.2289000000000101</v>
      </c>
      <c r="KL22">
        <f>-397.11--396.8811</f>
        <v>-0.2289000000000101</v>
      </c>
      <c r="KM22">
        <f>-396.6522--395.9656</f>
        <v>-0.68659999999999854</v>
      </c>
      <c r="KN22">
        <f>-397.7966--397.11</f>
        <v>-0.68659999999999854</v>
      </c>
      <c r="KO22">
        <f>-399.3988--398.7122</f>
        <v>-0.68659999999999854</v>
      </c>
      <c r="KP22">
        <f>-398.7122--398.2544</f>
        <v>-0.45780000000002019</v>
      </c>
      <c r="KQ22">
        <f>-406.9519--406.4941</f>
        <v>-0.45780000000002019</v>
      </c>
      <c r="KR22">
        <f>-398.4833--397.5677</f>
        <v>-0.91559999999998354</v>
      </c>
      <c r="KS22">
        <f>-400.3143--401.9165</f>
        <v>1.6021999999999821</v>
      </c>
      <c r="KT22">
        <f>-400.0854--398.941</f>
        <v>-1.1444000000000187</v>
      </c>
      <c r="KV22">
        <f>-399.1699--398.7122</f>
        <v>-0.45769999999998845</v>
      </c>
      <c r="KW22">
        <f>-398.7122--397.3389</f>
        <v>-1.373299999999972</v>
      </c>
      <c r="KY22">
        <f>-400.5432--399.8566</f>
        <v>-0.68659999999999854</v>
      </c>
      <c r="KZ22">
        <f>-398.4833--398.0255</f>
        <v>-0.45779999999996335</v>
      </c>
      <c r="LA22">
        <f>-397.7966--397.3389</f>
        <v>-0.45769999999998845</v>
      </c>
      <c r="LB22">
        <f>-397.3389--396.6522</f>
        <v>-0.68670000000003029</v>
      </c>
      <c r="LC22">
        <f>-398.941--398.7122</f>
        <v>-0.22879999999997835</v>
      </c>
      <c r="LD22">
        <f>-399.3988--398.0255</f>
        <v>-1.373299999999972</v>
      </c>
      <c r="LE22">
        <f>-375.824--375.1373</f>
        <v>-0.68670000000003029</v>
      </c>
      <c r="LF22">
        <f>-374.9084--375.5951</f>
        <v>0.68670000000003029</v>
      </c>
      <c r="LG22">
        <f>-396.8811--396.1945</f>
        <v>-0.68659999999999854</v>
      </c>
      <c r="LH22">
        <f>-396.6522--396.8811</f>
        <v>0.2289000000000101</v>
      </c>
      <c r="LI22">
        <f>-398.4833--398.7122</f>
        <v>0.2289000000000101</v>
      </c>
      <c r="LJ22">
        <f>-397.11--395.7367</f>
        <v>-1.3733000000000288</v>
      </c>
      <c r="LK22">
        <f>-398.7122--398.941</f>
        <v>0.22879999999997835</v>
      </c>
      <c r="LL22">
        <f>-398.2544--397.11</f>
        <v>-1.1443999999999619</v>
      </c>
      <c r="LM22">
        <f>-410.1563--409.0118</f>
        <v>-1.1444999999999936</v>
      </c>
      <c r="LN22">
        <f>-402.6031--402.1454</f>
        <v>-0.45769999999998845</v>
      </c>
      <c r="LO22">
        <f>-479.0497--478.5919</f>
        <v>-0.45779999999996335</v>
      </c>
      <c r="LP22">
        <f>-483.3984--483.1696</f>
        <v>-0.22879999999997835</v>
      </c>
      <c r="LQ22">
        <f>-483.3984--484.314</f>
        <v>0.91560000000004038</v>
      </c>
      <c r="LR22">
        <f>-399.8566--398.7122</f>
        <v>-1.1444000000000187</v>
      </c>
      <c r="LS22">
        <f>-399.8566--398.4833</f>
        <v>-1.3733000000000288</v>
      </c>
      <c r="LT22">
        <f>-396.6522--396.8811</f>
        <v>0.2289000000000101</v>
      </c>
      <c r="LU22">
        <f>-397.5677--396.4233</f>
        <v>-1.1444000000000187</v>
      </c>
      <c r="LV22">
        <f>-396.4233--395.2789</f>
        <v>-1.1443999999999619</v>
      </c>
      <c r="LW22">
        <f>-394.5923--394.8212</f>
        <v>0.22889999999995325</v>
      </c>
      <c r="LX22">
        <f>-395.05--394.8212</f>
        <v>-0.2288000000000352</v>
      </c>
      <c r="LY22">
        <f>-397.7966--396.1945</f>
        <v>-1.6021000000000072</v>
      </c>
      <c r="MA22">
        <f>-400.0854--398.7122</f>
        <v>-1.3731999999999971</v>
      </c>
      <c r="MC22">
        <f>-399.3988--399.6277</f>
        <v>0.2289000000000101</v>
      </c>
      <c r="MD22">
        <f>-399.6277--398.941</f>
        <v>-0.68670000000003029</v>
      </c>
      <c r="ME22">
        <f>-399.8566--399.1699</f>
        <v>-0.68670000000003029</v>
      </c>
      <c r="MF22">
        <f>-402.3743--401.2299</f>
        <v>-1.1444000000000187</v>
      </c>
      <c r="MH22">
        <f>-410.3851--410.1563</f>
        <v>-0.2288000000000352</v>
      </c>
      <c r="MI22">
        <f>-403.0609--401.4587</f>
        <v>-1.6021999999999821</v>
      </c>
      <c r="MJ22">
        <f>-402.3743--402.6031</f>
        <v>0.22879999999997835</v>
      </c>
      <c r="MK22">
        <f>-400.3143--401.001</f>
        <v>0.68669999999997344</v>
      </c>
      <c r="MN22">
        <f>-484.0851--483.3984</f>
        <v>-0.68670000000003029</v>
      </c>
      <c r="MP22">
        <f>-407.4097--407.1808</f>
        <v>-0.2289000000000101</v>
      </c>
      <c r="MQ22">
        <f>-489.1205--489.3494</f>
        <v>0.2289000000000101</v>
      </c>
      <c r="MR22">
        <f>-491.4093--491.1804</f>
        <v>-0.22889999999995325</v>
      </c>
      <c r="MS22">
        <f>-492.0959--490.9515</f>
        <v>-1.1443999999999619</v>
      </c>
      <c r="MT22">
        <f>-400.0854--399.6277</f>
        <v>-0.45769999999998845</v>
      </c>
      <c r="MU22">
        <f>-413.5895--414.9628</f>
        <v>1.3733000000000288</v>
      </c>
      <c r="MV22">
        <f>-405.3497--404.892</f>
        <v>-0.45769999999998845</v>
      </c>
      <c r="MW22">
        <f>-407.6385--407.1808</f>
        <v>-0.45770000000004529</v>
      </c>
      <c r="MX22">
        <f>-494.6136--493.927</f>
        <v>-0.68659999999999854</v>
      </c>
      <c r="MY22">
        <f>-491.8671--491.6382</f>
        <v>-0.2289000000000101</v>
      </c>
      <c r="MZ22">
        <f>-488.205--487.9761</f>
        <v>-0.2289000000000101</v>
      </c>
      <c r="NA22">
        <f>-464.4012--465.3168</f>
        <v>0.91559999999998354</v>
      </c>
      <c r="NB22">
        <f>-392.3035--390.9302</f>
        <v>-1.373299999999972</v>
      </c>
      <c r="NC22">
        <f>-396.4233--395.05</f>
        <v>-1.373299999999972</v>
      </c>
      <c r="ND22">
        <f>-392.9901--393.4479</f>
        <v>0.45780000000002019</v>
      </c>
      <c r="NE22">
        <f>-394.3634--393.9056</f>
        <v>-0.45780000000002019</v>
      </c>
      <c r="NF22">
        <f>-393.6768--392.9901</f>
        <v>-0.68670000000003029</v>
      </c>
      <c r="NG22">
        <f>-394.1345--393.219</f>
        <v>-0.91550000000000864</v>
      </c>
      <c r="NH22">
        <f>-397.5677--397.3389</f>
        <v>-0.22879999999997835</v>
      </c>
      <c r="NI22">
        <f>-393.219--393.9056</f>
        <v>0.68659999999999854</v>
      </c>
      <c r="NJ22">
        <f>-399.8566--398.941</f>
        <v>-0.91560000000004038</v>
      </c>
      <c r="NK22">
        <f>-393.219--393.4479</f>
        <v>0.2289000000000101</v>
      </c>
      <c r="NL22">
        <f>-395.05--395.2789</f>
        <v>0.2289000000000101</v>
      </c>
      <c r="NM22">
        <f>-398.0255--397.7966</f>
        <v>-0.2289000000000101</v>
      </c>
      <c r="NN22">
        <f>-394.8212--395.05</f>
        <v>0.2288000000000352</v>
      </c>
      <c r="NO22">
        <f>-397.5677--397.11</f>
        <v>-0.45769999999998845</v>
      </c>
      <c r="NP22">
        <f>-398.2544--398.7122</f>
        <v>0.45780000000002019</v>
      </c>
      <c r="NQ22">
        <f>-400.3143--399.6277</f>
        <v>-0.68659999999999854</v>
      </c>
      <c r="NR22">
        <f>-398.2544--398.0255</f>
        <v>-0.22889999999995325</v>
      </c>
      <c r="NS22">
        <f>-400.3143--400.7721</f>
        <v>0.45780000000002019</v>
      </c>
      <c r="NT22">
        <f>-398.2544--397.7966</f>
        <v>-0.45779999999996335</v>
      </c>
      <c r="NU22">
        <f>-399.3988--398.941</f>
        <v>-0.45780000000002019</v>
      </c>
      <c r="NV22">
        <f>-396.8811--397.3389</f>
        <v>0.45780000000002019</v>
      </c>
      <c r="NX22">
        <f>-397.7966--397.5677</f>
        <v>-0.2289000000000101</v>
      </c>
      <c r="NY22">
        <f>-398.4833--397.7966</f>
        <v>-0.68669999999997344</v>
      </c>
      <c r="NZ22">
        <f>-395.05--395.5078</f>
        <v>0.45779999999996335</v>
      </c>
      <c r="OA22">
        <f>-397.11--396.6522</f>
        <v>-0.45780000000002019</v>
      </c>
      <c r="OB22">
        <f>-371.933--371.0175</f>
        <v>-0.91550000000000864</v>
      </c>
      <c r="OC22">
        <f>-395.2789--395.05</f>
        <v>-0.2289000000000101</v>
      </c>
      <c r="OD22">
        <f>-372.1619--371.933</f>
        <v>-0.2289000000000101</v>
      </c>
      <c r="OE22">
        <f>-373.0774--372.8485</f>
        <v>-0.2289000000000101</v>
      </c>
      <c r="OF22">
        <f>-373.3063--373.0774</f>
        <v>-0.2289000000000101</v>
      </c>
      <c r="OH22">
        <f>-397.11--396.8811</f>
        <v>-0.2289000000000101</v>
      </c>
      <c r="OI22">
        <f>-397.11--395.7367</f>
        <v>-1.3733000000000288</v>
      </c>
      <c r="OL22">
        <f>-397.5677--398.4833</f>
        <v>0.91559999999998354</v>
      </c>
      <c r="OM22">
        <f>-395.5078--395.05</f>
        <v>-0.45779999999996335</v>
      </c>
      <c r="ON22">
        <f>-397.7966--397.5677</f>
        <v>-0.2289000000000101</v>
      </c>
      <c r="OO22">
        <f>-403.2898--402.832</f>
        <v>-0.45780000000002019</v>
      </c>
      <c r="OP22">
        <f>-402.3743--402.1454</f>
        <v>-0.2289000000000101</v>
      </c>
      <c r="QE22">
        <v>-1</v>
      </c>
      <c r="QF22">
        <v>-1</v>
      </c>
      <c r="QG22">
        <v>-1</v>
      </c>
      <c r="QH22">
        <v>-1</v>
      </c>
      <c r="QI22">
        <v>-1</v>
      </c>
      <c r="QJ22">
        <v>-1</v>
      </c>
      <c r="QK22">
        <v>-1</v>
      </c>
      <c r="QL22">
        <v>-1</v>
      </c>
    </row>
    <row r="23" spans="1:454" x14ac:dyDescent="0.25">
      <c r="A23" t="s">
        <v>2592</v>
      </c>
      <c r="B23" t="s">
        <v>869</v>
      </c>
      <c r="C23" t="s">
        <v>2593</v>
      </c>
      <c r="E23" t="s">
        <v>887</v>
      </c>
      <c r="F23" t="s">
        <v>2451</v>
      </c>
      <c r="G23" t="s">
        <v>2594</v>
      </c>
      <c r="H23" t="s">
        <v>2595</v>
      </c>
      <c r="I23" t="s">
        <v>2596</v>
      </c>
      <c r="J23" t="s">
        <v>1128</v>
      </c>
      <c r="K23" t="s">
        <v>2597</v>
      </c>
      <c r="L23" t="s">
        <v>2522</v>
      </c>
      <c r="M23" t="s">
        <v>1026</v>
      </c>
      <c r="N23" t="s">
        <v>2598</v>
      </c>
      <c r="O23" t="s">
        <v>2184</v>
      </c>
      <c r="P23" t="s">
        <v>1764</v>
      </c>
      <c r="Q23" t="s">
        <v>1214</v>
      </c>
      <c r="R23" t="s">
        <v>2594</v>
      </c>
      <c r="S23" t="s">
        <v>1022</v>
      </c>
      <c r="T23" t="s">
        <v>2599</v>
      </c>
      <c r="U23" t="s">
        <v>1499</v>
      </c>
      <c r="V23" t="s">
        <v>1350</v>
      </c>
      <c r="W23" t="s">
        <v>1011</v>
      </c>
      <c r="X23" t="s">
        <v>2600</v>
      </c>
      <c r="Y23" t="s">
        <v>1245</v>
      </c>
      <c r="Z23" t="s">
        <v>1246</v>
      </c>
      <c r="AA23" t="s">
        <v>2601</v>
      </c>
      <c r="AB23" t="s">
        <v>2083</v>
      </c>
      <c r="AC23" t="s">
        <v>1620</v>
      </c>
      <c r="AD23" t="s">
        <v>1448</v>
      </c>
      <c r="AE23" t="s">
        <v>959</v>
      </c>
      <c r="AG23" t="s">
        <v>1325</v>
      </c>
      <c r="AH23" t="s">
        <v>2602</v>
      </c>
      <c r="AI23" t="s">
        <v>976</v>
      </c>
      <c r="AJ23" t="s">
        <v>1338</v>
      </c>
      <c r="AK23" t="s">
        <v>1224</v>
      </c>
      <c r="AL23" t="s">
        <v>1687</v>
      </c>
      <c r="AN23" t="s">
        <v>1346</v>
      </c>
      <c r="AO23" t="s">
        <v>2603</v>
      </c>
      <c r="AP23" t="s">
        <v>1302</v>
      </c>
      <c r="AQ23" t="s">
        <v>1358</v>
      </c>
      <c r="AR23" t="s">
        <v>2604</v>
      </c>
      <c r="AS23" t="s">
        <v>2605</v>
      </c>
      <c r="AU23" t="s">
        <v>2606</v>
      </c>
      <c r="AV23" t="s">
        <v>2607</v>
      </c>
      <c r="AW23" t="s">
        <v>1624</v>
      </c>
      <c r="AX23" t="s">
        <v>993</v>
      </c>
      <c r="AZ23" t="s">
        <v>2608</v>
      </c>
      <c r="BA23" t="s">
        <v>1450</v>
      </c>
      <c r="BB23" t="s">
        <v>2609</v>
      </c>
      <c r="BC23" t="s">
        <v>2610</v>
      </c>
      <c r="BD23" t="s">
        <v>1471</v>
      </c>
      <c r="BE23" t="s">
        <v>1563</v>
      </c>
      <c r="BF23" t="s">
        <v>2611</v>
      </c>
      <c r="BG23" t="s">
        <v>1433</v>
      </c>
      <c r="BH23" t="s">
        <v>2612</v>
      </c>
      <c r="BI23" t="s">
        <v>2613</v>
      </c>
      <c r="BJ23" t="s">
        <v>2614</v>
      </c>
      <c r="BK23" t="s">
        <v>2615</v>
      </c>
      <c r="BL23" t="s">
        <v>997</v>
      </c>
      <c r="BM23" t="s">
        <v>925</v>
      </c>
      <c r="BN23" t="s">
        <v>1618</v>
      </c>
      <c r="BO23" t="s">
        <v>1057</v>
      </c>
      <c r="BP23" t="s">
        <v>985</v>
      </c>
      <c r="BQ23" t="s">
        <v>2616</v>
      </c>
      <c r="BR23" t="s">
        <v>933</v>
      </c>
      <c r="BS23" t="s">
        <v>941</v>
      </c>
      <c r="BT23" t="s">
        <v>957</v>
      </c>
      <c r="BU23" t="s">
        <v>1048</v>
      </c>
      <c r="BW23" t="s">
        <v>2454</v>
      </c>
      <c r="BX23" t="s">
        <v>2494</v>
      </c>
      <c r="BY23" t="s">
        <v>956</v>
      </c>
      <c r="BZ23" t="s">
        <v>2451</v>
      </c>
      <c r="CA23" t="s">
        <v>1644</v>
      </c>
      <c r="CB23" t="s">
        <v>2617</v>
      </c>
      <c r="CC23" t="s">
        <v>2618</v>
      </c>
      <c r="CD23" t="s">
        <v>1136</v>
      </c>
      <c r="CE23" t="s">
        <v>2619</v>
      </c>
      <c r="CG23" t="s">
        <v>2620</v>
      </c>
      <c r="CH23" t="s">
        <v>2621</v>
      </c>
      <c r="CI23" t="s">
        <v>1353</v>
      </c>
      <c r="CJ23" t="s">
        <v>1623</v>
      </c>
      <c r="CK23" t="s">
        <v>2622</v>
      </c>
      <c r="CL23" t="s">
        <v>972</v>
      </c>
      <c r="CM23" t="s">
        <v>2623</v>
      </c>
      <c r="CN23" t="s">
        <v>2624</v>
      </c>
      <c r="CO23" t="s">
        <v>2625</v>
      </c>
      <c r="CP23" t="s">
        <v>1400</v>
      </c>
      <c r="CS23" t="s">
        <v>2626</v>
      </c>
      <c r="CT23" t="s">
        <v>2627</v>
      </c>
      <c r="CU23" t="s">
        <v>1524</v>
      </c>
      <c r="CV23" t="s">
        <v>1602</v>
      </c>
      <c r="CW23" t="s">
        <v>1072</v>
      </c>
      <c r="CX23" t="s">
        <v>1517</v>
      </c>
      <c r="CY23" t="s">
        <v>971</v>
      </c>
      <c r="CZ23" t="s">
        <v>1092</v>
      </c>
      <c r="DA23" t="s">
        <v>1557</v>
      </c>
      <c r="DB23" t="s">
        <v>883</v>
      </c>
      <c r="DC23" t="s">
        <v>1103</v>
      </c>
      <c r="DD23" t="s">
        <v>2628</v>
      </c>
      <c r="DE23" t="s">
        <v>2629</v>
      </c>
      <c r="DF23" t="s">
        <v>1378</v>
      </c>
      <c r="DG23" t="s">
        <v>2630</v>
      </c>
      <c r="DH23" t="s">
        <v>2631</v>
      </c>
      <c r="DI23" t="s">
        <v>1510</v>
      </c>
      <c r="DJ23" t="s">
        <v>2632</v>
      </c>
      <c r="DL23" t="s">
        <v>981</v>
      </c>
      <c r="DM23" t="s">
        <v>1208</v>
      </c>
      <c r="DN23" t="s">
        <v>1210</v>
      </c>
      <c r="DO23" t="s">
        <v>1525</v>
      </c>
      <c r="DP23" t="s">
        <v>2633</v>
      </c>
      <c r="DQ23" t="s">
        <v>2634</v>
      </c>
      <c r="DR23" t="s">
        <v>887</v>
      </c>
      <c r="DS23" t="s">
        <v>1145</v>
      </c>
      <c r="DT23" t="s">
        <v>970</v>
      </c>
      <c r="DU23" t="s">
        <v>2635</v>
      </c>
      <c r="DV23" t="s">
        <v>2636</v>
      </c>
      <c r="DW23" t="s">
        <v>2637</v>
      </c>
      <c r="DX23" t="s">
        <v>968</v>
      </c>
      <c r="DY23" t="s">
        <v>1108</v>
      </c>
      <c r="DZ23" t="s">
        <v>2093</v>
      </c>
      <c r="EB23" t="s">
        <v>1027</v>
      </c>
      <c r="EC23" t="s">
        <v>1581</v>
      </c>
      <c r="ED23" t="s">
        <v>2415</v>
      </c>
      <c r="EE23" t="s">
        <v>1403</v>
      </c>
      <c r="EF23" t="s">
        <v>1546</v>
      </c>
      <c r="EH23" t="s">
        <v>2186</v>
      </c>
      <c r="EI23" t="s">
        <v>896</v>
      </c>
      <c r="EJ23" t="s">
        <v>925</v>
      </c>
      <c r="EK23" t="s">
        <v>1613</v>
      </c>
      <c r="EL23" t="s">
        <v>1807</v>
      </c>
      <c r="EM23" t="s">
        <v>1398</v>
      </c>
      <c r="EN23" t="s">
        <v>2638</v>
      </c>
      <c r="EO23" t="s">
        <v>943</v>
      </c>
      <c r="EP23" t="s">
        <v>1010</v>
      </c>
      <c r="EQ23" t="s">
        <v>896</v>
      </c>
      <c r="ER23" t="s">
        <v>2639</v>
      </c>
      <c r="ET23" t="s">
        <v>2640</v>
      </c>
      <c r="EU23" t="s">
        <v>2641</v>
      </c>
      <c r="EV23" t="s">
        <v>1112</v>
      </c>
      <c r="EW23" t="s">
        <v>1388</v>
      </c>
      <c r="EX23" t="s">
        <v>2100</v>
      </c>
      <c r="EY23" t="s">
        <v>2642</v>
      </c>
      <c r="EZ23" t="s">
        <v>1471</v>
      </c>
      <c r="FB23" t="s">
        <v>1151</v>
      </c>
      <c r="FD23" t="s">
        <v>2643</v>
      </c>
      <c r="FE23" t="s">
        <v>2644</v>
      </c>
      <c r="FF23" t="s">
        <v>2645</v>
      </c>
      <c r="FG23" t="s">
        <v>2646</v>
      </c>
      <c r="FI23" t="s">
        <v>1338</v>
      </c>
      <c r="FJ23" t="s">
        <v>2647</v>
      </c>
      <c r="FK23" t="s">
        <v>899</v>
      </c>
      <c r="FL23" t="s">
        <v>1524</v>
      </c>
      <c r="FM23" t="s">
        <v>1294</v>
      </c>
      <c r="FN23" t="s">
        <v>1269</v>
      </c>
      <c r="FO23" t="s">
        <v>1468</v>
      </c>
      <c r="FP23" t="s">
        <v>1644</v>
      </c>
      <c r="FR23" t="s">
        <v>886</v>
      </c>
      <c r="FS23" t="s">
        <v>1269</v>
      </c>
      <c r="FT23" t="s">
        <v>880</v>
      </c>
      <c r="FU23" t="s">
        <v>1207</v>
      </c>
      <c r="FV23" t="s">
        <v>1617</v>
      </c>
      <c r="FW23" t="s">
        <v>1448</v>
      </c>
      <c r="FX23" t="s">
        <v>1207</v>
      </c>
      <c r="FY23" t="s">
        <v>949</v>
      </c>
      <c r="FZ23" t="s">
        <v>1146</v>
      </c>
      <c r="GA23" t="s">
        <v>2648</v>
      </c>
      <c r="GB23" t="s">
        <v>2572</v>
      </c>
      <c r="GC23" t="s">
        <v>2649</v>
      </c>
      <c r="GD23" t="s">
        <v>1206</v>
      </c>
      <c r="GE23" t="s">
        <v>1658</v>
      </c>
      <c r="GF23" t="s">
        <v>2650</v>
      </c>
      <c r="GG23" t="s">
        <v>1033</v>
      </c>
      <c r="GH23" t="s">
        <v>1059</v>
      </c>
      <c r="GI23" t="s">
        <v>1400</v>
      </c>
      <c r="GJ23" t="s">
        <v>1059</v>
      </c>
      <c r="GK23" t="s">
        <v>2651</v>
      </c>
      <c r="GL23" t="s">
        <v>2652</v>
      </c>
      <c r="GM23" t="s">
        <v>2653</v>
      </c>
      <c r="GO23" t="s">
        <v>2654</v>
      </c>
      <c r="GP23" t="s">
        <v>2655</v>
      </c>
      <c r="GS23" t="s">
        <v>2656</v>
      </c>
      <c r="GT23" t="s">
        <v>2615</v>
      </c>
      <c r="GU23" t="s">
        <v>2657</v>
      </c>
      <c r="GV23" t="s">
        <v>1439</v>
      </c>
      <c r="GW23">
        <f>-398.2544--397.7966</f>
        <v>-0.45779999999996335</v>
      </c>
      <c r="GX23">
        <f>-398.4833--397.3389</f>
        <v>-1.1443999999999619</v>
      </c>
      <c r="GY23">
        <f>-396.6522--396.4233</f>
        <v>-0.2289000000000101</v>
      </c>
      <c r="GZ23">
        <f>-397.3389--398.2544</f>
        <v>0.9154999999999518</v>
      </c>
      <c r="HA23">
        <f>-396.4233--395.2789</f>
        <v>-1.1443999999999619</v>
      </c>
      <c r="HB23">
        <f>-399.1699--398.941</f>
        <v>-0.2289000000000101</v>
      </c>
      <c r="HC23">
        <f>-397.7966--397.11</f>
        <v>-0.68659999999999854</v>
      </c>
      <c r="HD23">
        <f>-397.7966--398.0255</f>
        <v>0.2289000000000101</v>
      </c>
      <c r="HF23">
        <f>-397.7966--397.11</f>
        <v>-0.68659999999999854</v>
      </c>
      <c r="HG23">
        <f>-399.6277--399.8566</f>
        <v>0.2289000000000101</v>
      </c>
      <c r="HH23">
        <f>-398.4833--399.3988</f>
        <v>0.91550000000000864</v>
      </c>
      <c r="HI23">
        <f>-398.0255--398.7122</f>
        <v>0.68669999999997344</v>
      </c>
      <c r="HJ23">
        <f>-399.6277--400.0854</f>
        <v>0.45769999999998845</v>
      </c>
      <c r="HK23">
        <f>-373.9929--375.1373</f>
        <v>1.1443999999999619</v>
      </c>
      <c r="HL23">
        <f>-373.9929--374.9084</f>
        <v>0.9154999999999518</v>
      </c>
      <c r="HN23">
        <f>-397.5677--397.7966</f>
        <v>0.2289000000000101</v>
      </c>
      <c r="HO23">
        <f>-399.3988--400.3143</f>
        <v>0.91550000000000864</v>
      </c>
      <c r="HP23">
        <f>-397.11--398.4833</f>
        <v>1.373299999999972</v>
      </c>
      <c r="HQ23">
        <f>-396.8811--397.11</f>
        <v>0.2289000000000101</v>
      </c>
      <c r="HR23">
        <f>-440.8264--441.0553</f>
        <v>0.2289000000000101</v>
      </c>
      <c r="HS23">
        <f>-481.3385--481.1096</f>
        <v>-0.2289000000000101</v>
      </c>
      <c r="HU23">
        <f>-485.9161--486.145</f>
        <v>0.2289000000000101</v>
      </c>
      <c r="HV23">
        <f>-397.11--396.4233</f>
        <v>-0.68670000000003029</v>
      </c>
      <c r="HW23">
        <f>-400.0854--399.1699</f>
        <v>-0.91550000000000864</v>
      </c>
      <c r="HX23">
        <f>-398.0255--397.5677</f>
        <v>-0.45780000000002019</v>
      </c>
      <c r="HY23">
        <f>-395.05--394.3634</f>
        <v>-0.68659999999999854</v>
      </c>
      <c r="IA23">
        <f>-394.8212--394.1345</f>
        <v>-0.68669999999997344</v>
      </c>
      <c r="IB23">
        <f>-395.05--395.2789</f>
        <v>0.2289000000000101</v>
      </c>
      <c r="IC23">
        <f>-395.2789--395.05</f>
        <v>-0.2289000000000101</v>
      </c>
      <c r="ID23">
        <f>-398.4833--397.5677</f>
        <v>-0.91559999999998354</v>
      </c>
      <c r="IE23">
        <f>-398.4833--398.7122</f>
        <v>0.2289000000000101</v>
      </c>
      <c r="IF23">
        <f>-397.7966--397.11</f>
        <v>-0.68659999999999854</v>
      </c>
      <c r="IG23">
        <f>-395.9656--396.1945</f>
        <v>0.2289000000000101</v>
      </c>
      <c r="IH23">
        <f>-398.7122--398.2544</f>
        <v>-0.45780000000002019</v>
      </c>
      <c r="II23">
        <f>-401.4587--401.001</f>
        <v>-0.45770000000004529</v>
      </c>
      <c r="IJ23">
        <f>-400.0854--399.8566</f>
        <v>-0.22879999999997835</v>
      </c>
      <c r="IK23">
        <f>-399.3988--399.8566</f>
        <v>0.45780000000002019</v>
      </c>
      <c r="IM23">
        <f>-321.8079--322.4945</f>
        <v>0.68659999999999854</v>
      </c>
      <c r="IN23">
        <f>-400.5432--401.001</f>
        <v>0.45779999999996335</v>
      </c>
      <c r="IO23">
        <f>-485.0006--485.2295</f>
        <v>0.22889999999995325</v>
      </c>
      <c r="IP23">
        <f>-490.036--490.7227</f>
        <v>0.68669999999997344</v>
      </c>
      <c r="IQ23">
        <f>-403.9764--403.0609</f>
        <v>-0.91550000000000864</v>
      </c>
      <c r="IR23">
        <f>-403.9764--403.2898</f>
        <v>-0.68659999999999854</v>
      </c>
      <c r="IS23">
        <f>-396.4233--396.1945</f>
        <v>-0.22879999999997835</v>
      </c>
      <c r="IT23">
        <f>-402.1454--401.4587</f>
        <v>-0.68669999999997344</v>
      </c>
      <c r="IU23">
        <f>-484.5428--484.7717</f>
        <v>0.2289000000000101</v>
      </c>
      <c r="IV23">
        <f>-398.0255--397.3389</f>
        <v>-0.68659999999999854</v>
      </c>
      <c r="IW23">
        <f>-397.5677--397.11</f>
        <v>-0.45769999999998845</v>
      </c>
      <c r="IX23">
        <f>-401.6876--401.2299</f>
        <v>-0.45769999999998845</v>
      </c>
      <c r="IY23">
        <f>-490.4938--490.7227</f>
        <v>0.22889999999995325</v>
      </c>
      <c r="IZ23">
        <f>-488.6627--487.9761</f>
        <v>-0.68659999999999854</v>
      </c>
      <c r="JA23">
        <f>-485.2295--486.6028</f>
        <v>1.3733000000000288</v>
      </c>
      <c r="JB23">
        <f>-487.9761--487.5183</f>
        <v>-0.45779999999996335</v>
      </c>
      <c r="JC23">
        <f>-408.0963--407.1808</f>
        <v>-0.91550000000000864</v>
      </c>
      <c r="JD23">
        <f>-388.1836--388.4125</f>
        <v>0.2289000000000101</v>
      </c>
      <c r="JE23">
        <f>-391.8457--392.7612</f>
        <v>0.9154999999999518</v>
      </c>
      <c r="JF23">
        <f>-390.7013--390.2435</f>
        <v>-0.45780000000002019</v>
      </c>
      <c r="JG23">
        <f>-393.219--392.7612</f>
        <v>-0.45780000000002019</v>
      </c>
      <c r="JH23">
        <f>-396.4233--396.1945</f>
        <v>-0.22879999999997835</v>
      </c>
      <c r="JI23">
        <f>-391.8457--392.3035</f>
        <v>0.45779999999996335</v>
      </c>
      <c r="JJ23">
        <f>-396.4233--396.1945</f>
        <v>-0.22879999999997835</v>
      </c>
      <c r="JK23">
        <f>-395.9656--396.4233</f>
        <v>0.45769999999998845</v>
      </c>
      <c r="JL23">
        <f>-392.3035--391.3879</f>
        <v>-0.91559999999998354</v>
      </c>
      <c r="JN23">
        <f>-398.0255--397.7966</f>
        <v>-0.2289000000000101</v>
      </c>
      <c r="JO23">
        <f>-396.4233--395.5078</f>
        <v>-0.91550000000000864</v>
      </c>
      <c r="JP23">
        <f>-395.7367--395.2789</f>
        <v>-0.45779999999996335</v>
      </c>
      <c r="JQ23">
        <f>-397.11--396.1945</f>
        <v>-0.91550000000000864</v>
      </c>
      <c r="JR23">
        <f>-396.4233--397.5677</f>
        <v>1.1444000000000187</v>
      </c>
      <c r="JT23">
        <f>-396.1945--395.9656</f>
        <v>-0.2289000000000101</v>
      </c>
      <c r="JU23">
        <f>-396.1945--395.5078</f>
        <v>-0.68670000000003029</v>
      </c>
      <c r="JV23">
        <f>-394.3634--394.1345</f>
        <v>-0.2289000000000101</v>
      </c>
      <c r="JW23">
        <f>-396.4233--395.7367</f>
        <v>-0.68659999999999854</v>
      </c>
      <c r="JX23">
        <f>-396.1945--395.05</f>
        <v>-1.1444999999999936</v>
      </c>
      <c r="JY23">
        <f>-443.573--443.3441</f>
        <v>-0.22889999999995325</v>
      </c>
      <c r="JZ23">
        <f>-396.4233--395.05</f>
        <v>-1.373299999999972</v>
      </c>
      <c r="KA23">
        <f>-402.3743--402.6031</f>
        <v>0.22879999999997835</v>
      </c>
      <c r="KB23">
        <f>-394.3634--393.9056</f>
        <v>-0.45780000000002019</v>
      </c>
      <c r="KC23">
        <f>-393.6768--392.9901</f>
        <v>-0.68670000000003029</v>
      </c>
      <c r="KD23">
        <f>-394.1345--393.4479</f>
        <v>-0.68659999999999854</v>
      </c>
      <c r="KE23">
        <f>-371.4752--371.933</f>
        <v>0.45780000000002019</v>
      </c>
      <c r="KF23">
        <f>-395.05--394.8212</f>
        <v>-0.2288000000000352</v>
      </c>
      <c r="KH23">
        <f>-372.3907--371.933</f>
        <v>-0.45769999999998845</v>
      </c>
      <c r="KI23">
        <f>-372.3907--372.6196</f>
        <v>0.2289000000000101</v>
      </c>
      <c r="KJ23">
        <f>-394.1345--394.5923</f>
        <v>0.45780000000002019</v>
      </c>
      <c r="KK23">
        <f>-392.0746--392.5323</f>
        <v>0.45770000000004529</v>
      </c>
      <c r="KL23">
        <f>-394.5923--394.3634</f>
        <v>-0.2289000000000101</v>
      </c>
      <c r="KM23">
        <f>-394.3634--393.219</f>
        <v>-1.1444000000000187</v>
      </c>
      <c r="KN23">
        <f>-395.5078--395.9656</f>
        <v>0.45780000000002019</v>
      </c>
      <c r="KO23">
        <f>-395.05--394.3634</f>
        <v>-0.68659999999999854</v>
      </c>
      <c r="KP23">
        <f>-397.5677--398.2544</f>
        <v>0.68669999999997344</v>
      </c>
      <c r="KQ23">
        <f>-405.1208--404.892</f>
        <v>-0.22879999999997835</v>
      </c>
      <c r="KR23">
        <f>-397.3389--397.7966</f>
        <v>0.45769999999998845</v>
      </c>
      <c r="KS23">
        <f>-398.941--397.7966</f>
        <v>-1.1443999999999619</v>
      </c>
      <c r="KT23">
        <f>-399.6277--399.1699</f>
        <v>-0.45780000000002019</v>
      </c>
      <c r="KU23">
        <f>-398.7122--397.5677</f>
        <v>-1.1444999999999936</v>
      </c>
      <c r="KV23">
        <f>-399.6277--398.941</f>
        <v>-0.68670000000003029</v>
      </c>
      <c r="KW23">
        <f>-397.3389--396.8811</f>
        <v>-0.45780000000002019</v>
      </c>
      <c r="KX23">
        <f>-396.4233--396.6522</f>
        <v>0.2289000000000101</v>
      </c>
      <c r="KY23">
        <f>-398.4833--398.941</f>
        <v>0.45769999999998845</v>
      </c>
      <c r="KZ23">
        <f>-396.6522--397.11</f>
        <v>0.45780000000002019</v>
      </c>
      <c r="LB23">
        <f>-398.0255--398.4833</f>
        <v>0.45779999999996335</v>
      </c>
      <c r="LC23">
        <f>-398.941--398.4833</f>
        <v>-0.45769999999998845</v>
      </c>
      <c r="LD23">
        <f>-397.5677--397.7966</f>
        <v>0.2289000000000101</v>
      </c>
      <c r="LE23">
        <f>-373.764--373.9929</f>
        <v>0.2289000000000101</v>
      </c>
      <c r="LF23">
        <f>-373.9929--373.764</f>
        <v>-0.2289000000000101</v>
      </c>
      <c r="LH23">
        <f>-398.941--398.7122</f>
        <v>-0.22879999999997835</v>
      </c>
      <c r="LI23">
        <f>-399.1699--399.8566</f>
        <v>0.68670000000003029</v>
      </c>
      <c r="LJ23">
        <f>-398.0255--396.6522</f>
        <v>-1.3733000000000288</v>
      </c>
      <c r="LK23">
        <f>-397.5677--397.11</f>
        <v>-0.45769999999998845</v>
      </c>
      <c r="LL23">
        <f>-397.7966--397.5677</f>
        <v>-0.2289000000000101</v>
      </c>
      <c r="LM23">
        <f>-401.9165--400.0854</f>
        <v>-1.8310999999999922</v>
      </c>
      <c r="LN23">
        <f>-395.05--395.7367</f>
        <v>0.68669999999997344</v>
      </c>
      <c r="LO23">
        <f>-477.2186--476.7609</f>
        <v>-0.45769999999998845</v>
      </c>
      <c r="LP23">
        <f>-477.4475--477.2186</f>
        <v>-0.2289000000000101</v>
      </c>
      <c r="LQ23">
        <f>-481.1096--481.3385</f>
        <v>0.2289000000000101</v>
      </c>
      <c r="LR23">
        <f>-397.3389--395.9656</f>
        <v>-1.3733000000000288</v>
      </c>
      <c r="LS23">
        <f>-396.6522--396.4233</f>
        <v>-0.2289000000000101</v>
      </c>
      <c r="LT23">
        <f>-397.5677--397.11</f>
        <v>-0.45769999999998845</v>
      </c>
      <c r="LV23">
        <f>-394.1345--393.6768</f>
        <v>-0.45769999999998845</v>
      </c>
      <c r="LW23">
        <f>-395.05--395.2789</f>
        <v>0.2289000000000101</v>
      </c>
      <c r="LY23">
        <f>-396.6522--395.9656</f>
        <v>-0.68659999999999854</v>
      </c>
      <c r="LZ23">
        <f>-397.11--396.4233</f>
        <v>-0.68670000000003029</v>
      </c>
      <c r="MA23">
        <f>-400.0854--399.8566</f>
        <v>-0.22879999999997835</v>
      </c>
      <c r="MB23">
        <f>-393.4479--392.7612</f>
        <v>-0.68670000000003029</v>
      </c>
      <c r="MD23">
        <f>-397.5677--396.4233</f>
        <v>-1.1444000000000187</v>
      </c>
      <c r="MF23">
        <f>-400.5432--400.0854</f>
        <v>-0.45780000000002019</v>
      </c>
      <c r="MG23">
        <f>-409.4696--409.0118</f>
        <v>-0.45780000000002019</v>
      </c>
      <c r="MI23">
        <f>-400.5432--399.8566</f>
        <v>-0.68659999999999854</v>
      </c>
      <c r="MK23">
        <f>-398.941--399.3988</f>
        <v>0.45780000000002019</v>
      </c>
      <c r="ML23">
        <f>-353.6224--353.3936</f>
        <v>-0.2288000000000352</v>
      </c>
      <c r="MM23">
        <f>-318.3746--319.0613</f>
        <v>0.68670000000003029</v>
      </c>
      <c r="MN23">
        <f>-484.5428--483.1696</f>
        <v>-1.3731999999999971</v>
      </c>
      <c r="MO23">
        <f>-490.2649--490.7227</f>
        <v>0.45779999999996335</v>
      </c>
      <c r="MP23">
        <f>-406.4941--405.3497</f>
        <v>-1.1444000000000187</v>
      </c>
      <c r="MQ23">
        <f>-485.2295--485.4584</f>
        <v>0.2289000000000101</v>
      </c>
      <c r="MR23">
        <f>-490.9515--490.7227</f>
        <v>-0.2288000000000352</v>
      </c>
      <c r="MS23">
        <f>-492.3248--492.7826</f>
        <v>0.45780000000002019</v>
      </c>
      <c r="MU23">
        <f>-399.3988--399.6277</f>
        <v>0.2289000000000101</v>
      </c>
      <c r="MW23">
        <f>-406.0364--406.2653</f>
        <v>0.2289000000000101</v>
      </c>
      <c r="MX23">
        <f>-491.1804--491.4093</f>
        <v>0.22889999999995325</v>
      </c>
      <c r="MY23">
        <f>-495.3003--494.1559</f>
        <v>-1.1444000000000187</v>
      </c>
      <c r="MZ23">
        <f>-488.8916--488.6627</f>
        <v>-0.2289000000000101</v>
      </c>
      <c r="NA23">
        <f>-462.7991--464.4012</f>
        <v>1.6021000000000072</v>
      </c>
      <c r="NB23">
        <f>-390.2435--388.8702</f>
        <v>-1.373299999999972</v>
      </c>
      <c r="ND23">
        <f>-391.1591--391.6168</f>
        <v>0.45769999999998845</v>
      </c>
      <c r="NE23">
        <f>-390.9302--391.3879</f>
        <v>0.45769999999998845</v>
      </c>
      <c r="NF23">
        <f>-392.0746--392.5323</f>
        <v>0.45770000000004529</v>
      </c>
      <c r="NG23">
        <f>-392.0746--391.8457</f>
        <v>-0.22889999999995325</v>
      </c>
      <c r="NH23">
        <f>-395.7367--395.9656</f>
        <v>0.2289000000000101</v>
      </c>
      <c r="NI23">
        <f>-392.5323--392.3035</f>
        <v>-0.2288000000000352</v>
      </c>
      <c r="NJ23">
        <f>-396.6522--395.5078</f>
        <v>-1.1444000000000187</v>
      </c>
      <c r="NK23">
        <f>-390.9302--391.3879</f>
        <v>0.45769999999998845</v>
      </c>
      <c r="NL23">
        <f>-392.5323--392.0746</f>
        <v>-0.45770000000004529</v>
      </c>
      <c r="NM23">
        <f>-398.0255--397.5677</f>
        <v>-0.45780000000002019</v>
      </c>
      <c r="NN23">
        <f>-393.9056--393.6768</f>
        <v>-0.22879999999997835</v>
      </c>
      <c r="NO23">
        <f>-397.5677--396.8811</f>
        <v>-0.68659999999999854</v>
      </c>
      <c r="NP23">
        <f>-396.8811--397.11</f>
        <v>0.2289000000000101</v>
      </c>
      <c r="NQ23">
        <f>-397.7966--398.0255</f>
        <v>0.2289000000000101</v>
      </c>
      <c r="NS23">
        <f>-396.6522--396.4233</f>
        <v>-0.2289000000000101</v>
      </c>
      <c r="NT23">
        <f>-397.3389--396.1945</f>
        <v>-1.1444000000000187</v>
      </c>
      <c r="NW23">
        <f>-405.1208--404.892</f>
        <v>-0.22879999999997835</v>
      </c>
      <c r="NX23">
        <f>-393.9056--394.1345</f>
        <v>0.2289000000000101</v>
      </c>
      <c r="NY23">
        <f>-395.7367--395.05</f>
        <v>-0.68669999999997344</v>
      </c>
      <c r="NZ23">
        <f>-394.1345--393.6768</f>
        <v>-0.45769999999998845</v>
      </c>
      <c r="OA23">
        <f>-395.5078--395.9656</f>
        <v>0.45780000000002019</v>
      </c>
      <c r="OB23">
        <f>-370.7886--371.0175</f>
        <v>0.2289000000000101</v>
      </c>
      <c r="OC23">
        <f>-394.3634--394.1345</f>
        <v>-0.2289000000000101</v>
      </c>
      <c r="OD23">
        <f>-372.8485--372.6196</f>
        <v>-0.2289000000000101</v>
      </c>
      <c r="OF23">
        <f>-373.0774--372.8485</f>
        <v>-0.2289000000000101</v>
      </c>
      <c r="OG23">
        <f>-393.6768--392.7612</f>
        <v>-0.91560000000004038</v>
      </c>
      <c r="OH23">
        <f>-392.9901--393.219</f>
        <v>0.2289000000000101</v>
      </c>
      <c r="OI23">
        <f>-395.7367--396.6522</f>
        <v>0.91550000000000864</v>
      </c>
      <c r="OJ23">
        <f>-394.8212--398.941</f>
        <v>4.1197999999999979</v>
      </c>
      <c r="OK23">
        <f>-394.3634--394.1345</f>
        <v>-0.2289000000000101</v>
      </c>
      <c r="OL23">
        <f>-395.05--395.2789</f>
        <v>0.2289000000000101</v>
      </c>
      <c r="ON23">
        <f>-396.1945--396.4233</f>
        <v>0.22879999999997835</v>
      </c>
      <c r="OO23">
        <f>-406.4941--406.0364</f>
        <v>-0.45769999999998845</v>
      </c>
      <c r="OP23">
        <f>-400.0854--401.001</f>
        <v>0.91559999999998354</v>
      </c>
      <c r="PV23" t="s">
        <v>1532</v>
      </c>
      <c r="QE23">
        <v>-1</v>
      </c>
      <c r="QF23">
        <v>-1</v>
      </c>
      <c r="QG23">
        <v>-1</v>
      </c>
      <c r="QH23">
        <v>-1</v>
      </c>
      <c r="QI23">
        <v>-1</v>
      </c>
      <c r="QJ23">
        <v>-1</v>
      </c>
      <c r="QK23">
        <v>-1</v>
      </c>
      <c r="QL23">
        <v>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古睿</dc:creator>
  <cp:lastModifiedBy>睿 古</cp:lastModifiedBy>
  <dcterms:created xsi:type="dcterms:W3CDTF">2026-02-26T05:42:41Z</dcterms:created>
  <dcterms:modified xsi:type="dcterms:W3CDTF">2026-02-26T05:42:41Z</dcterms:modified>
</cp:coreProperties>
</file>